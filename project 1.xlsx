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tudents Grade" sheetId="2" r:id="rId1"/>
    <sheet name="Sales Data" sheetId="3" r:id="rId2"/>
    <sheet name="Employee Data" sheetId="4" r:id="rId3"/>
    <sheet name="dynamic reference" sheetId="5" r:id="rId4"/>
    <sheet name="vlookup product" sheetId="6" r:id="rId5"/>
  </sheets>
  <definedNames>
    <definedName name="_xlnm._FilterDatabase" localSheetId="3" hidden="1">'dynamic reference'!$A$1:$K$1</definedName>
    <definedName name="_xlnm._FilterDatabase" localSheetId="2" hidden="1">'Employee Data'!$A$1:$F$1</definedName>
    <definedName name="_xlnm._FilterDatabase" localSheetId="1" hidden="1">'Sales Data'!$A$1:$H$21</definedName>
    <definedName name="_xlnm._FilterDatabase" localSheetId="0" hidden="1">'Students Grade'!$A$1:$N$21</definedName>
  </definedNames>
  <calcPr calcId="124519"/>
</workbook>
</file>

<file path=xl/calcChain.xml><?xml version="1.0" encoding="utf-8"?>
<calcChain xmlns="http://schemas.openxmlformats.org/spreadsheetml/2006/main">
  <c r="D3" i="6"/>
  <c r="D4"/>
  <c r="D5"/>
  <c r="D6"/>
  <c r="D2"/>
  <c r="G2" i="3"/>
  <c r="H2" s="1"/>
  <c r="F13" i="4"/>
  <c r="F14"/>
  <c r="F15"/>
  <c r="F16"/>
  <c r="F17"/>
  <c r="F18"/>
  <c r="F19"/>
  <c r="F20"/>
  <c r="F21"/>
  <c r="F3"/>
  <c r="F4"/>
  <c r="F5"/>
  <c r="F6"/>
  <c r="F7"/>
  <c r="F8"/>
  <c r="F9"/>
  <c r="F10"/>
  <c r="F11"/>
  <c r="F12"/>
  <c r="F2"/>
  <c r="P10" i="5"/>
  <c r="P11"/>
  <c r="P12"/>
  <c r="P13"/>
  <c r="P14"/>
  <c r="P15"/>
  <c r="P16"/>
  <c r="P17"/>
  <c r="P18"/>
  <c r="P19"/>
  <c r="P20"/>
  <c r="P21"/>
  <c r="P3"/>
  <c r="P4"/>
  <c r="P5"/>
  <c r="P6"/>
  <c r="P7"/>
  <c r="P8"/>
  <c r="P9"/>
  <c r="O14"/>
  <c r="O15"/>
  <c r="O16"/>
  <c r="O17"/>
  <c r="O18"/>
  <c r="O19"/>
  <c r="O20"/>
  <c r="O21"/>
  <c r="O10"/>
  <c r="O11"/>
  <c r="O12"/>
  <c r="O13"/>
  <c r="O8"/>
  <c r="O9"/>
  <c r="O3"/>
  <c r="O4"/>
  <c r="O5"/>
  <c r="O6"/>
  <c r="O7"/>
  <c r="N2"/>
  <c r="P2"/>
  <c r="O2"/>
  <c r="N14"/>
  <c r="N15"/>
  <c r="N16"/>
  <c r="N17"/>
  <c r="N18"/>
  <c r="N19"/>
  <c r="N20"/>
  <c r="N21"/>
  <c r="N11"/>
  <c r="N12"/>
  <c r="N13"/>
  <c r="N3"/>
  <c r="N4"/>
  <c r="N5"/>
  <c r="N6"/>
  <c r="N7"/>
  <c r="N8"/>
  <c r="N9"/>
  <c r="N10"/>
  <c r="G2"/>
  <c r="I2" s="1"/>
  <c r="V8"/>
  <c r="M3"/>
  <c r="M2"/>
  <c r="J12"/>
  <c r="J13"/>
  <c r="J14"/>
  <c r="J15"/>
  <c r="J16"/>
  <c r="J17"/>
  <c r="J18"/>
  <c r="J19"/>
  <c r="J20"/>
  <c r="J21"/>
  <c r="K21" s="1"/>
  <c r="J9"/>
  <c r="J10"/>
  <c r="J11"/>
  <c r="J6"/>
  <c r="J7"/>
  <c r="J8"/>
  <c r="J3"/>
  <c r="J4"/>
  <c r="J5"/>
  <c r="J2"/>
  <c r="G21"/>
  <c r="H21" s="1"/>
  <c r="G20"/>
  <c r="I20" s="1"/>
  <c r="G19"/>
  <c r="H19" s="1"/>
  <c r="G18"/>
  <c r="I18" s="1"/>
  <c r="G17"/>
  <c r="H17" s="1"/>
  <c r="G16"/>
  <c r="I16" s="1"/>
  <c r="G15"/>
  <c r="H15" s="1"/>
  <c r="G14"/>
  <c r="I14" s="1"/>
  <c r="G13"/>
  <c r="H13" s="1"/>
  <c r="G12"/>
  <c r="I12" s="1"/>
  <c r="G11"/>
  <c r="H11" s="1"/>
  <c r="G10"/>
  <c r="I10" s="1"/>
  <c r="G9"/>
  <c r="H9" s="1"/>
  <c r="G8"/>
  <c r="I8" s="1"/>
  <c r="G7"/>
  <c r="H7" s="1"/>
  <c r="G6"/>
  <c r="I6" s="1"/>
  <c r="G5"/>
  <c r="H5" s="1"/>
  <c r="G4"/>
  <c r="I4" s="1"/>
  <c r="G3"/>
  <c r="H3" s="1"/>
  <c r="R4" i="3"/>
  <c r="K5" i="5" l="1"/>
  <c r="K11"/>
  <c r="K7"/>
  <c r="K2"/>
  <c r="K8"/>
  <c r="K20"/>
  <c r="K18"/>
  <c r="K16"/>
  <c r="K14"/>
  <c r="K19"/>
  <c r="K17"/>
  <c r="K15"/>
  <c r="K13"/>
  <c r="K4"/>
  <c r="K10"/>
  <c r="K12"/>
  <c r="K9"/>
  <c r="K6"/>
  <c r="K3"/>
  <c r="H4"/>
  <c r="H20"/>
  <c r="H12"/>
  <c r="H8"/>
  <c r="H16"/>
  <c r="H2"/>
  <c r="H6"/>
  <c r="H10"/>
  <c r="H14"/>
  <c r="H18"/>
  <c r="I3"/>
  <c r="I5"/>
  <c r="I7"/>
  <c r="I9"/>
  <c r="I11"/>
  <c r="I13"/>
  <c r="I15"/>
  <c r="I17"/>
  <c r="I19"/>
  <c r="I21"/>
  <c r="J2" i="4"/>
  <c r="M8" i="3"/>
  <c r="R19" i="2"/>
  <c r="R20"/>
  <c r="R21"/>
  <c r="R3"/>
  <c r="R4"/>
  <c r="R5"/>
  <c r="R6"/>
  <c r="R7"/>
  <c r="R8"/>
  <c r="R9"/>
  <c r="R10"/>
  <c r="R11"/>
  <c r="R12"/>
  <c r="R13"/>
  <c r="R14"/>
  <c r="R15"/>
  <c r="R16"/>
  <c r="R17"/>
  <c r="R18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R2"/>
  <c r="Q2"/>
  <c r="P12"/>
  <c r="P13"/>
  <c r="P14"/>
  <c r="P15"/>
  <c r="P16"/>
  <c r="P17"/>
  <c r="P18"/>
  <c r="P19"/>
  <c r="P20"/>
  <c r="P21"/>
  <c r="P3"/>
  <c r="P4"/>
  <c r="P5"/>
  <c r="P6"/>
  <c r="P7"/>
  <c r="P8"/>
  <c r="P9"/>
  <c r="P10"/>
  <c r="P11"/>
  <c r="P2"/>
  <c r="J6" i="4"/>
  <c r="N6" i="3"/>
  <c r="J11"/>
  <c r="J12"/>
  <c r="J13"/>
  <c r="J14"/>
  <c r="J15"/>
  <c r="J16"/>
  <c r="J17"/>
  <c r="J18"/>
  <c r="J19"/>
  <c r="J20"/>
  <c r="J21"/>
  <c r="J3"/>
  <c r="J4"/>
  <c r="J5"/>
  <c r="J6"/>
  <c r="J7"/>
  <c r="J8"/>
  <c r="J9"/>
  <c r="J10"/>
  <c r="J2"/>
  <c r="X2" i="5"/>
  <c r="K5" i="3" l="1"/>
  <c r="K20"/>
  <c r="K18"/>
  <c r="K16"/>
  <c r="K14"/>
  <c r="K21"/>
  <c r="K19"/>
  <c r="K17"/>
  <c r="K15"/>
  <c r="K3"/>
  <c r="K12"/>
  <c r="K2"/>
  <c r="K9"/>
  <c r="K7"/>
  <c r="K10"/>
  <c r="K8"/>
  <c r="K6"/>
  <c r="K4"/>
  <c r="K13"/>
  <c r="K11"/>
  <c r="X4" i="5"/>
  <c r="W3"/>
  <c r="N3" i="3"/>
  <c r="N2"/>
  <c r="X2" i="2"/>
  <c r="S1" i="3"/>
  <c r="O21" i="2"/>
  <c r="O12"/>
  <c r="O13"/>
  <c r="O14"/>
  <c r="O15"/>
  <c r="O16"/>
  <c r="O17"/>
  <c r="O18"/>
  <c r="O19"/>
  <c r="O20"/>
  <c r="O3"/>
  <c r="O4"/>
  <c r="O5"/>
  <c r="O6"/>
  <c r="O7"/>
  <c r="O8"/>
  <c r="O9"/>
  <c r="O10"/>
  <c r="O11"/>
  <c r="O2"/>
  <c r="N12"/>
  <c r="N13"/>
  <c r="N14"/>
  <c r="N15"/>
  <c r="N16"/>
  <c r="N17"/>
  <c r="N18"/>
  <c r="N19"/>
  <c r="N20"/>
  <c r="N21"/>
  <c r="N3"/>
  <c r="N4"/>
  <c r="N5"/>
  <c r="N6"/>
  <c r="N7"/>
  <c r="N8"/>
  <c r="N9"/>
  <c r="N10"/>
  <c r="N11"/>
  <c r="N2"/>
  <c r="L15"/>
  <c r="L16"/>
  <c r="L17"/>
  <c r="L18"/>
  <c r="L19"/>
  <c r="L20"/>
  <c r="L21"/>
  <c r="L3"/>
  <c r="L4"/>
  <c r="L5"/>
  <c r="L6"/>
  <c r="L7"/>
  <c r="L8"/>
  <c r="L9"/>
  <c r="L10"/>
  <c r="L11"/>
  <c r="L12"/>
  <c r="L13"/>
  <c r="L14"/>
  <c r="L2"/>
  <c r="K2"/>
  <c r="K14"/>
  <c r="K15"/>
  <c r="K16"/>
  <c r="K17"/>
  <c r="K18"/>
  <c r="K19"/>
  <c r="K20"/>
  <c r="K21"/>
  <c r="K3"/>
  <c r="K4"/>
  <c r="K5"/>
  <c r="K6"/>
  <c r="K7"/>
  <c r="K8"/>
  <c r="K9"/>
  <c r="K10"/>
  <c r="K11"/>
  <c r="K12"/>
  <c r="K13"/>
  <c r="G12" i="3"/>
  <c r="H12" s="1"/>
  <c r="G13"/>
  <c r="H13" s="1"/>
  <c r="G14"/>
  <c r="H14" s="1"/>
  <c r="G15"/>
  <c r="H15" s="1"/>
  <c r="G16"/>
  <c r="H16" s="1"/>
  <c r="G17"/>
  <c r="H17" s="1"/>
  <c r="G18"/>
  <c r="H18" s="1"/>
  <c r="G19"/>
  <c r="H19" s="1"/>
  <c r="G20"/>
  <c r="H20" s="1"/>
  <c r="G21"/>
  <c r="H21" s="1"/>
  <c r="G3"/>
  <c r="H3" s="1"/>
  <c r="G4"/>
  <c r="H4" s="1"/>
  <c r="G5"/>
  <c r="H5" s="1"/>
  <c r="G6"/>
  <c r="H6" s="1"/>
  <c r="G7"/>
  <c r="H7" s="1"/>
  <c r="G8"/>
  <c r="H8" s="1"/>
  <c r="G9"/>
  <c r="H9" s="1"/>
  <c r="G10"/>
  <c r="H10" s="1"/>
  <c r="G11"/>
  <c r="H11" s="1"/>
  <c r="J16" i="2"/>
  <c r="J17"/>
  <c r="J18"/>
  <c r="J19"/>
  <c r="J20"/>
  <c r="J21"/>
  <c r="J11"/>
  <c r="J12"/>
  <c r="J13"/>
  <c r="J14"/>
  <c r="J15"/>
  <c r="J3"/>
  <c r="J4"/>
  <c r="J5"/>
  <c r="J6"/>
  <c r="J7"/>
  <c r="J8"/>
  <c r="J9"/>
  <c r="J10"/>
  <c r="J2"/>
  <c r="H17"/>
  <c r="I17" s="1"/>
  <c r="M17" s="1"/>
  <c r="H18"/>
  <c r="I18" s="1"/>
  <c r="M18" s="1"/>
  <c r="H19"/>
  <c r="I19" s="1"/>
  <c r="M19" s="1"/>
  <c r="H20"/>
  <c r="I20" s="1"/>
  <c r="M20" s="1"/>
  <c r="H21"/>
  <c r="I21" s="1"/>
  <c r="M21" s="1"/>
  <c r="H12"/>
  <c r="I12" s="1"/>
  <c r="M12" s="1"/>
  <c r="H13"/>
  <c r="I13" s="1"/>
  <c r="M13" s="1"/>
  <c r="H14"/>
  <c r="I14" s="1"/>
  <c r="M14" s="1"/>
  <c r="H15"/>
  <c r="I15" s="1"/>
  <c r="M15" s="1"/>
  <c r="H16"/>
  <c r="I16" s="1"/>
  <c r="M16" s="1"/>
  <c r="H7"/>
  <c r="I7" s="1"/>
  <c r="M7" s="1"/>
  <c r="H8"/>
  <c r="I8" s="1"/>
  <c r="M8" s="1"/>
  <c r="H9"/>
  <c r="I9" s="1"/>
  <c r="M9" s="1"/>
  <c r="H10"/>
  <c r="I10" s="1"/>
  <c r="M10" s="1"/>
  <c r="H11"/>
  <c r="I11" s="1"/>
  <c r="M11" s="1"/>
  <c r="H3"/>
  <c r="I3" s="1"/>
  <c r="M3" s="1"/>
  <c r="H4"/>
  <c r="I4" s="1"/>
  <c r="M4" s="1"/>
  <c r="H5"/>
  <c r="I5" s="1"/>
  <c r="M5" s="1"/>
  <c r="H6"/>
  <c r="I6" s="1"/>
  <c r="M6" s="1"/>
  <c r="H2"/>
  <c r="G11"/>
  <c r="G12"/>
  <c r="G13"/>
  <c r="G14"/>
  <c r="G15"/>
  <c r="G16"/>
  <c r="G17"/>
  <c r="G18"/>
  <c r="G19"/>
  <c r="G20"/>
  <c r="G21"/>
  <c r="G3"/>
  <c r="G4"/>
  <c r="G5"/>
  <c r="G6"/>
  <c r="G7"/>
  <c r="G8"/>
  <c r="G9"/>
  <c r="G10"/>
  <c r="G2"/>
  <c r="I2" l="1"/>
  <c r="M2" s="1"/>
  <c r="X1" s="1"/>
  <c r="S3" i="3"/>
  <c r="I21"/>
  <c r="I19"/>
  <c r="I17"/>
  <c r="I15"/>
  <c r="I13"/>
  <c r="I20"/>
  <c r="I18"/>
  <c r="I16"/>
  <c r="I14"/>
  <c r="I12"/>
  <c r="I10"/>
  <c r="I8"/>
  <c r="I11"/>
  <c r="I9"/>
  <c r="I7"/>
  <c r="I5"/>
  <c r="I3"/>
  <c r="I6"/>
  <c r="I4"/>
  <c r="I2"/>
</calcChain>
</file>

<file path=xl/sharedStrings.xml><?xml version="1.0" encoding="utf-8"?>
<sst xmlns="http://schemas.openxmlformats.org/spreadsheetml/2006/main" count="287" uniqueCount="157">
  <si>
    <t>Student ID</t>
  </si>
  <si>
    <t>Name</t>
  </si>
  <si>
    <t>Math</t>
  </si>
  <si>
    <t>Science</t>
  </si>
  <si>
    <t>English</t>
  </si>
  <si>
    <t>Enrollment Date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</si>
  <si>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</si>
  <si>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</si>
  <si>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</si>
  <si>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</si>
  <si>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</si>
  <si>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</si>
  <si>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</si>
  <si>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</si>
  <si>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</si>
  <si>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</si>
  <si>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</si>
  <si>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</si>
  <si>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</si>
  <si>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</si>
  <si>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</si>
  <si>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</si>
  <si>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</si>
  <si>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</si>
  <si>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</si>
  <si>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</si>
  <si>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</si>
  <si>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</si>
  <si>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</si>
  <si>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</si>
  <si>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</si>
  <si>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</si>
  <si>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</si>
  <si>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</si>
  <si>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</si>
  <si>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</si>
  <si>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</si>
  <si>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</si>
  <si>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</si>
  <si>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</si>
  <si>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</si>
  <si>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</si>
  <si>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</si>
  <si>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</si>
  <si>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</si>
  <si>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</si>
  <si>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</si>
  <si>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</si>
  <si>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</si>
  <si>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</si>
  <si>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</si>
  <si>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</si>
  <si>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</si>
  <si>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</si>
  <si>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</si>
  <si>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</si>
  <si>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</si>
  <si>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</si>
  <si>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</si>
  <si>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</si>
  <si>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</si>
  <si>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</si>
  <si>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</si>
  <si>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</si>
  <si>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</si>
  <si>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</si>
  <si>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</si>
  <si>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</si>
  <si>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</si>
  <si>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</si>
  <si>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</si>
  <si>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</si>
  <si>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</si>
  <si>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</si>
  <si>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</si>
  <si>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</si>
  <si>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</si>
  <si>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</si>
  <si>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</si>
  <si>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</si>
  <si>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</si>
  <si>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</si>
  <si>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</si>
  <si>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</si>
  <si>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</si>
  <si>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</si>
  <si>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</si>
  <si>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</si>
  <si>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</t>
  </si>
  <si>
    <t>Total</t>
  </si>
  <si>
    <t>Average</t>
  </si>
  <si>
    <t>Count</t>
  </si>
  <si>
    <t xml:space="preserve"> price</t>
  </si>
  <si>
    <t>Relative Reference</t>
  </si>
  <si>
    <t>Absolute Reference</t>
  </si>
  <si>
    <t>Score</t>
  </si>
  <si>
    <t>Discount</t>
  </si>
  <si>
    <t>AND</t>
  </si>
  <si>
    <t>OR</t>
  </si>
  <si>
    <t>math&gt;50</t>
  </si>
  <si>
    <t>Total sales by region and product</t>
  </si>
  <si>
    <t xml:space="preserve"> </t>
  </si>
  <si>
    <t>Average score &gt; 60</t>
  </si>
  <si>
    <t>vlookup</t>
  </si>
  <si>
    <t>fetch</t>
  </si>
  <si>
    <t>vlookup product code</t>
  </si>
  <si>
    <t>Input</t>
  </si>
  <si>
    <t>Output</t>
  </si>
  <si>
    <t>Month</t>
  </si>
  <si>
    <t>January</t>
  </si>
  <si>
    <t>index-match</t>
  </si>
  <si>
    <t>FirstName</t>
  </si>
  <si>
    <t>Vaibhavi khokhani</t>
  </si>
  <si>
    <t>UpperName</t>
  </si>
  <si>
    <t>Lower Name</t>
  </si>
  <si>
    <t>Xlookup</t>
  </si>
  <si>
    <t>X-match</t>
  </si>
  <si>
    <t>Indirect</t>
  </si>
  <si>
    <t>MontlySales</t>
  </si>
  <si>
    <t>SalesLabel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</si>
  <si>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</si>
  <si>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</si>
  <si>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</si>
  <si>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</si>
  <si>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</si>
  <si>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</si>
  <si>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</si>
  <si>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</si>
  <si>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</si>
  <si>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</si>
  <si>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</si>
  <si>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</si>
  <si>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</si>
  <si>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</si>
  <si>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</si>
  <si>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</si>
  <si>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</si>
  <si>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</si>
  <si>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</si>
  <si>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</si>
  <si>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Return Cell</t>
  </si>
  <si>
    <t>Offset</t>
  </si>
  <si>
    <t>OFFSET: total first 3 months</t>
  </si>
  <si>
    <t>Date and time</t>
  </si>
  <si>
    <t>differnce days:</t>
  </si>
  <si>
    <t>ROUND</t>
  </si>
  <si>
    <t>CEILING</t>
  </si>
  <si>
    <t>FLOOR</t>
  </si>
  <si>
    <t>FILTER(A1:R21,M1:M21&gt;50,"NOT FOUND")</t>
  </si>
  <si>
    <t>Product Code</t>
  </si>
  <si>
    <t>Price</t>
  </si>
  <si>
    <t>P101</t>
  </si>
  <si>
    <t>P102</t>
  </si>
  <si>
    <t>P103</t>
  </si>
  <si>
    <t>P104</t>
  </si>
  <si>
    <t>P105</t>
  </si>
  <si>
    <t>Product price</t>
  </si>
</sst>
</file>

<file path=xl/styles.xml><?xml version="1.0" encoding="utf-8"?>
<styleSheet xmlns="http://schemas.openxmlformats.org/spreadsheetml/2006/main">
  <numFmts count="2">
    <numFmt numFmtId="164" formatCode="[$-409]d/mmm/yy;@"/>
    <numFmt numFmtId="165" formatCode="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0" fillId="0" borderId="7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1" fillId="2" borderId="9" xfId="0" applyFont="1" applyFill="1" applyBorder="1" applyAlignment="1">
      <alignment horizontal="center" vertical="center" wrapText="1"/>
    </xf>
    <xf numFmtId="0" fontId="0" fillId="0" borderId="0" xfId="0" applyFont="1"/>
    <xf numFmtId="0" fontId="3" fillId="3" borderId="0" xfId="0" applyFont="1" applyFill="1" applyAlignment="1">
      <alignment vertical="center"/>
    </xf>
    <xf numFmtId="14" fontId="0" fillId="0" borderId="0" xfId="0" applyNumberFormat="1"/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topLeftCell="E1" zoomScale="110" zoomScaleNormal="110" workbookViewId="0">
      <selection activeCell="I2" sqref="I2"/>
    </sheetView>
  </sheetViews>
  <sheetFormatPr defaultRowHeight="15"/>
  <cols>
    <col min="1" max="1" width="16.85546875" customWidth="1"/>
    <col min="2" max="2" width="23" customWidth="1"/>
    <col min="3" max="3" width="15.140625" customWidth="1"/>
    <col min="4" max="5" width="13.28515625" customWidth="1"/>
    <col min="6" max="6" width="27.28515625" customWidth="1"/>
    <col min="7" max="7" width="13.28515625" customWidth="1"/>
    <col min="8" max="8" width="13.7109375" customWidth="1"/>
    <col min="9" max="9" width="11.140625" customWidth="1"/>
    <col min="10" max="10" width="11" customWidth="1"/>
    <col min="11" max="11" width="19.85546875" customWidth="1"/>
    <col min="12" max="12" width="20" customWidth="1"/>
    <col min="16" max="16" width="12.85546875" customWidth="1"/>
    <col min="17" max="17" width="22.140625" customWidth="1"/>
    <col min="18" max="18" width="18.28515625" customWidth="1"/>
    <col min="21" max="21" width="15.7109375" customWidth="1"/>
  </cols>
  <sheetData>
    <row r="1" spans="1:24" ht="22.5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7" t="s">
        <v>89</v>
      </c>
      <c r="H1" s="7" t="s">
        <v>90</v>
      </c>
      <c r="I1" s="7" t="s">
        <v>88</v>
      </c>
      <c r="J1" s="7" t="s">
        <v>91</v>
      </c>
      <c r="K1" s="7" t="s">
        <v>93</v>
      </c>
      <c r="L1" s="7" t="s">
        <v>94</v>
      </c>
      <c r="M1" s="13" t="s">
        <v>95</v>
      </c>
      <c r="N1" s="14" t="s">
        <v>97</v>
      </c>
      <c r="O1" s="7" t="s">
        <v>99</v>
      </c>
      <c r="P1" s="7" t="s">
        <v>111</v>
      </c>
      <c r="Q1" s="7" t="s">
        <v>113</v>
      </c>
      <c r="R1" s="7" t="s">
        <v>114</v>
      </c>
      <c r="U1" t="s">
        <v>101</v>
      </c>
      <c r="V1" s="15" t="s">
        <v>102</v>
      </c>
      <c r="W1" s="15"/>
      <c r="X1">
        <f>AVERAGEIF(M2:M21, "&gt;60",H2:H21)</f>
        <v>77.7</v>
      </c>
    </row>
    <row r="2" spans="1:24" ht="26.25" customHeight="1" thickBot="1">
      <c r="A2" s="11">
        <v>1001</v>
      </c>
      <c r="B2" s="4" t="s">
        <v>112</v>
      </c>
      <c r="C2" s="4">
        <v>61</v>
      </c>
      <c r="D2" s="4">
        <v>48</v>
      </c>
      <c r="E2" s="4">
        <v>76</v>
      </c>
      <c r="F2" s="6">
        <v>43101</v>
      </c>
      <c r="G2" s="8">
        <f>SUM(C2:E2)</f>
        <v>185</v>
      </c>
      <c r="H2" s="8">
        <f>AVERAGE(C2:E2)</f>
        <v>61.666666666666664</v>
      </c>
      <c r="I2" s="8" t="str">
        <f>IF(H2&gt;=90,"A+",IF(H2&gt;=80,"A",IF(H2&gt;=70,"B",IF(H2&gt;=60,"C","F"))))</f>
        <v>C</v>
      </c>
      <c r="J2" s="8">
        <f>COUNTIFS(C2:C21,"&gt;60")</f>
        <v>19</v>
      </c>
      <c r="K2" s="8">
        <f>C2*D2*E2</f>
        <v>222528</v>
      </c>
      <c r="L2" s="8">
        <f>$C$2*$D$2*$E$2</f>
        <v>222528</v>
      </c>
      <c r="M2" s="8">
        <f>IF(I2="A+",95,IF(I2="A",85,IF(I2="B",75,IF(I2="C",60,IF(I2="F",35,0)))))</f>
        <v>60</v>
      </c>
      <c r="N2" s="8" t="str">
        <f>IF(AND(C2&gt;80,D2&gt;80),"Yes","No")</f>
        <v>No</v>
      </c>
      <c r="O2" s="8">
        <f>COUNTIFS(C2:C21,"&gt;50")</f>
        <v>19</v>
      </c>
      <c r="P2" s="8" t="str">
        <f>LEFT(B2,FIND(" ",B2)-1)</f>
        <v>Vaibhavi</v>
      </c>
      <c r="Q2" s="8" t="str">
        <f>UPPER(B2)</f>
        <v>VAIBHAVI KHOKHANI</v>
      </c>
      <c r="R2" s="8" t="str">
        <f>LOWER(B2)</f>
        <v>vaibhavi khokhani</v>
      </c>
      <c r="V2" s="15" t="s">
        <v>103</v>
      </c>
      <c r="W2" s="15" t="s">
        <v>104</v>
      </c>
      <c r="X2" t="str">
        <f>VLOOKUP(A3,A1:O21,2,FALSE)</f>
        <v>Student 2</v>
      </c>
    </row>
    <row r="3" spans="1:24" ht="24" customHeight="1" thickBot="1">
      <c r="A3" s="11">
        <v>1002</v>
      </c>
      <c r="B3" s="4" t="s">
        <v>6</v>
      </c>
      <c r="C3" s="4">
        <v>78</v>
      </c>
      <c r="D3" s="4">
        <v>76</v>
      </c>
      <c r="E3" s="4">
        <v>70</v>
      </c>
      <c r="F3" s="6">
        <v>43281</v>
      </c>
      <c r="G3" s="8">
        <f t="shared" ref="G3:G21" si="0">SUM(C3:E3)</f>
        <v>224</v>
      </c>
      <c r="H3" s="8">
        <f t="shared" ref="H3:H21" si="1">AVERAGE(C3:E3)</f>
        <v>74.666666666666671</v>
      </c>
      <c r="I3" s="8" t="str">
        <f>IF(H3&gt;=90,"A+",IF(H3&gt;=80,"A",IF(H3&gt;=70,"B",IF(H3&gt;=60,"C","F"))))</f>
        <v>B</v>
      </c>
      <c r="J3" s="8">
        <f t="shared" ref="J3:J21" si="2">COUNTIFS(C3:C22,"&gt;60")</f>
        <v>18</v>
      </c>
      <c r="K3" s="8">
        <f t="shared" ref="K3:K21" si="3">C3*D3*E3</f>
        <v>414960</v>
      </c>
      <c r="L3" s="8">
        <f t="shared" ref="L3:L21" si="4">$C$2*$D$2*$E$2</f>
        <v>222528</v>
      </c>
      <c r="M3" s="8">
        <f t="shared" ref="M3:M21" si="5">IF(I3="A+",95,IF(I3="A",85,IF(I3="B",75,IF(I3="C",60,IF(I3="F",35,0)))))</f>
        <v>75</v>
      </c>
      <c r="N3" s="8" t="str">
        <f t="shared" ref="N3:N21" si="6">IF(AND(C3&gt;80,D3&gt;80),"Yes","No")</f>
        <v>No</v>
      </c>
      <c r="O3" s="8">
        <f t="shared" ref="O3:O20" si="7">COUNTIFS(C3:C22,"&gt;50")</f>
        <v>18</v>
      </c>
      <c r="P3" s="8" t="str">
        <f t="shared" ref="P3:P21" si="8">LEFT(B3,FIND(" ",B3)-1)</f>
        <v>Student</v>
      </c>
      <c r="Q3" s="8" t="str">
        <f t="shared" ref="Q3:Q21" si="9">UPPER(B3)</f>
        <v>STUDENT 2</v>
      </c>
      <c r="R3" s="8" t="str">
        <f t="shared" ref="R3:R21" si="10">LOWER(B3)</f>
        <v>student 2</v>
      </c>
      <c r="S3" s="15" t="s">
        <v>148</v>
      </c>
      <c r="T3" s="15"/>
      <c r="U3" s="15"/>
    </row>
    <row r="4" spans="1:24" ht="24" customHeight="1" thickBot="1">
      <c r="A4" s="11">
        <v>1003</v>
      </c>
      <c r="B4" s="4" t="s">
        <v>7</v>
      </c>
      <c r="C4" s="4">
        <v>97</v>
      </c>
      <c r="D4" s="4">
        <v>60</v>
      </c>
      <c r="E4" s="4">
        <v>51</v>
      </c>
      <c r="F4" s="6">
        <v>43461</v>
      </c>
      <c r="G4" s="8">
        <f t="shared" si="0"/>
        <v>208</v>
      </c>
      <c r="H4" s="8">
        <f t="shared" si="1"/>
        <v>69.333333333333329</v>
      </c>
      <c r="I4" s="8" t="str">
        <f t="shared" ref="I4:I21" si="11">IF(H4&gt;=90,"A+",IF(H4&gt;=80,"A",IF(H4&gt;=70,"B",IF(H4&gt;=60,"C","F"))))</f>
        <v>C</v>
      </c>
      <c r="J4" s="8">
        <f t="shared" si="2"/>
        <v>17</v>
      </c>
      <c r="K4" s="8">
        <f t="shared" si="3"/>
        <v>296820</v>
      </c>
      <c r="L4" s="8">
        <f t="shared" si="4"/>
        <v>222528</v>
      </c>
      <c r="M4" s="8">
        <f t="shared" si="5"/>
        <v>60</v>
      </c>
      <c r="N4" s="8" t="str">
        <f t="shared" si="6"/>
        <v>No</v>
      </c>
      <c r="O4" s="8">
        <f t="shared" si="7"/>
        <v>17</v>
      </c>
      <c r="P4" s="8" t="str">
        <f t="shared" si="8"/>
        <v>Student</v>
      </c>
      <c r="Q4" s="8" t="str">
        <f t="shared" si="9"/>
        <v>STUDENT 3</v>
      </c>
      <c r="R4" s="8" t="str">
        <f t="shared" si="10"/>
        <v>student 3</v>
      </c>
    </row>
    <row r="5" spans="1:24" ht="22.5" customHeight="1" thickBot="1">
      <c r="A5" s="3">
        <v>1004</v>
      </c>
      <c r="B5" s="10" t="s">
        <v>8</v>
      </c>
      <c r="C5" s="4">
        <v>74</v>
      </c>
      <c r="D5" s="4">
        <v>55</v>
      </c>
      <c r="E5" s="4">
        <v>46</v>
      </c>
      <c r="F5" s="6">
        <v>43641</v>
      </c>
      <c r="G5" s="8">
        <f t="shared" si="0"/>
        <v>175</v>
      </c>
      <c r="H5" s="8">
        <f t="shared" si="1"/>
        <v>58.333333333333336</v>
      </c>
      <c r="I5" s="8" t="str">
        <f t="shared" si="11"/>
        <v>F</v>
      </c>
      <c r="J5" s="8">
        <f t="shared" si="2"/>
        <v>16</v>
      </c>
      <c r="K5" s="8">
        <f t="shared" si="3"/>
        <v>187220</v>
      </c>
      <c r="L5" s="8">
        <f t="shared" si="4"/>
        <v>222528</v>
      </c>
      <c r="M5" s="8">
        <f t="shared" si="5"/>
        <v>35</v>
      </c>
      <c r="N5" s="8" t="str">
        <f t="shared" si="6"/>
        <v>No</v>
      </c>
      <c r="O5" s="8">
        <f t="shared" si="7"/>
        <v>16</v>
      </c>
      <c r="P5" s="8" t="str">
        <f t="shared" si="8"/>
        <v>Student</v>
      </c>
      <c r="Q5" s="8" t="str">
        <f t="shared" si="9"/>
        <v>STUDENT 4</v>
      </c>
      <c r="R5" s="8" t="str">
        <f t="shared" si="10"/>
        <v>student 4</v>
      </c>
    </row>
    <row r="6" spans="1:24" ht="21.75" customHeight="1" thickBot="1">
      <c r="A6" s="3">
        <v>1005</v>
      </c>
      <c r="B6" s="10" t="s">
        <v>9</v>
      </c>
      <c r="C6" s="4">
        <v>68</v>
      </c>
      <c r="D6" s="4">
        <v>74</v>
      </c>
      <c r="E6" s="4">
        <v>84</v>
      </c>
      <c r="F6" s="6">
        <v>43821</v>
      </c>
      <c r="G6" s="8">
        <f t="shared" si="0"/>
        <v>226</v>
      </c>
      <c r="H6" s="8">
        <f t="shared" si="1"/>
        <v>75.333333333333329</v>
      </c>
      <c r="I6" s="8" t="str">
        <f t="shared" si="11"/>
        <v>B</v>
      </c>
      <c r="J6" s="8">
        <f t="shared" si="2"/>
        <v>15</v>
      </c>
      <c r="K6" s="8">
        <f t="shared" si="3"/>
        <v>422688</v>
      </c>
      <c r="L6" s="8">
        <f t="shared" si="4"/>
        <v>222528</v>
      </c>
      <c r="M6" s="8">
        <f t="shared" si="5"/>
        <v>75</v>
      </c>
      <c r="N6" s="8" t="str">
        <f t="shared" si="6"/>
        <v>No</v>
      </c>
      <c r="O6" s="8">
        <f t="shared" si="7"/>
        <v>15</v>
      </c>
      <c r="P6" s="8" t="str">
        <f t="shared" si="8"/>
        <v>Student</v>
      </c>
      <c r="Q6" s="8" t="str">
        <f t="shared" si="9"/>
        <v>STUDENT 5</v>
      </c>
      <c r="R6" s="8" t="str">
        <f t="shared" si="10"/>
        <v>student 5</v>
      </c>
    </row>
    <row r="7" spans="1:24" ht="21.75" customHeight="1" thickBot="1">
      <c r="A7" s="12">
        <v>1006</v>
      </c>
      <c r="B7" s="4" t="s">
        <v>10</v>
      </c>
      <c r="C7" s="4">
        <v>80</v>
      </c>
      <c r="D7" s="4">
        <v>70</v>
      </c>
      <c r="E7" s="4">
        <v>65</v>
      </c>
      <c r="F7" s="6">
        <v>44001</v>
      </c>
      <c r="G7" s="8">
        <f t="shared" si="0"/>
        <v>215</v>
      </c>
      <c r="H7" s="8">
        <f>AVERAGE(C7:E7)</f>
        <v>71.666666666666671</v>
      </c>
      <c r="I7" s="8" t="str">
        <f>IF(H7&gt;=90,"A+",IF(H7&gt;=80,"A",IF(H7&gt;=70,"B",IF(H7&gt;=60,"C","F"))))</f>
        <v>B</v>
      </c>
      <c r="J7" s="8">
        <f t="shared" si="2"/>
        <v>14</v>
      </c>
      <c r="K7" s="8">
        <f t="shared" si="3"/>
        <v>364000</v>
      </c>
      <c r="L7" s="8">
        <f t="shared" si="4"/>
        <v>222528</v>
      </c>
      <c r="M7" s="8">
        <f t="shared" si="5"/>
        <v>75</v>
      </c>
      <c r="N7" s="8" t="str">
        <f t="shared" si="6"/>
        <v>No</v>
      </c>
      <c r="O7" s="8">
        <f t="shared" si="7"/>
        <v>14</v>
      </c>
      <c r="P7" s="8" t="str">
        <f t="shared" si="8"/>
        <v>Student</v>
      </c>
      <c r="Q7" s="8" t="str">
        <f t="shared" si="9"/>
        <v>STUDENT 6</v>
      </c>
      <c r="R7" s="8" t="str">
        <f t="shared" si="10"/>
        <v>student 6</v>
      </c>
    </row>
    <row r="8" spans="1:24" ht="21.75" customHeight="1" thickBot="1">
      <c r="A8" s="12">
        <v>1007</v>
      </c>
      <c r="B8" s="4" t="s">
        <v>11</v>
      </c>
      <c r="C8" s="4">
        <v>75</v>
      </c>
      <c r="D8" s="4">
        <v>47</v>
      </c>
      <c r="E8" s="4">
        <v>78</v>
      </c>
      <c r="F8" s="6">
        <v>44181</v>
      </c>
      <c r="G8" s="8">
        <f t="shared" si="0"/>
        <v>200</v>
      </c>
      <c r="H8" s="8">
        <f t="shared" si="1"/>
        <v>66.666666666666671</v>
      </c>
      <c r="I8" s="8" t="str">
        <f t="shared" si="11"/>
        <v>C</v>
      </c>
      <c r="J8" s="8">
        <f t="shared" si="2"/>
        <v>13</v>
      </c>
      <c r="K8" s="8">
        <f t="shared" si="3"/>
        <v>274950</v>
      </c>
      <c r="L8" s="8">
        <f t="shared" si="4"/>
        <v>222528</v>
      </c>
      <c r="M8" s="8">
        <f t="shared" si="5"/>
        <v>60</v>
      </c>
      <c r="N8" s="8" t="str">
        <f t="shared" si="6"/>
        <v>No</v>
      </c>
      <c r="O8" s="8">
        <f t="shared" si="7"/>
        <v>13</v>
      </c>
      <c r="P8" s="8" t="str">
        <f t="shared" si="8"/>
        <v>Student</v>
      </c>
      <c r="Q8" s="8" t="str">
        <f t="shared" si="9"/>
        <v>STUDENT 7</v>
      </c>
      <c r="R8" s="8" t="str">
        <f t="shared" si="10"/>
        <v>student 7</v>
      </c>
    </row>
    <row r="9" spans="1:24" ht="21.75" customHeight="1" thickBot="1">
      <c r="A9" s="3">
        <v>1008</v>
      </c>
      <c r="B9" s="4" t="s">
        <v>12</v>
      </c>
      <c r="C9" s="4">
        <v>94</v>
      </c>
      <c r="D9" s="4">
        <v>67</v>
      </c>
      <c r="E9" s="4">
        <v>64</v>
      </c>
      <c r="F9" s="6">
        <v>44361</v>
      </c>
      <c r="G9" s="8">
        <f t="shared" si="0"/>
        <v>225</v>
      </c>
      <c r="H9" s="8">
        <f t="shared" si="1"/>
        <v>75</v>
      </c>
      <c r="I9" s="8" t="str">
        <f t="shared" si="11"/>
        <v>B</v>
      </c>
      <c r="J9" s="8">
        <f t="shared" si="2"/>
        <v>12</v>
      </c>
      <c r="K9" s="8">
        <f t="shared" si="3"/>
        <v>403072</v>
      </c>
      <c r="L9" s="8">
        <f t="shared" si="4"/>
        <v>222528</v>
      </c>
      <c r="M9" s="8">
        <f>IF(I9="A+",95,IF(I9="A",85,IF(I9="B",75,IF(I9="C",60,IF(I9="F",35,0)))))</f>
        <v>75</v>
      </c>
      <c r="N9" s="8" t="str">
        <f t="shared" si="6"/>
        <v>No</v>
      </c>
      <c r="O9" s="8">
        <f t="shared" si="7"/>
        <v>12</v>
      </c>
      <c r="P9" s="8" t="str">
        <f t="shared" si="8"/>
        <v>Student</v>
      </c>
      <c r="Q9" s="8" t="str">
        <f t="shared" si="9"/>
        <v>STUDENT 8</v>
      </c>
      <c r="R9" s="8" t="str">
        <f t="shared" si="10"/>
        <v>student 8</v>
      </c>
    </row>
    <row r="10" spans="1:24" ht="21.75" customHeight="1" thickBot="1">
      <c r="A10" s="3">
        <v>1009</v>
      </c>
      <c r="B10" s="4" t="s">
        <v>13</v>
      </c>
      <c r="C10" s="4">
        <v>41</v>
      </c>
      <c r="D10" s="4">
        <v>75</v>
      </c>
      <c r="E10" s="4">
        <v>56</v>
      </c>
      <c r="F10" s="6">
        <v>44541</v>
      </c>
      <c r="G10" s="8">
        <f t="shared" si="0"/>
        <v>172</v>
      </c>
      <c r="H10" s="8">
        <f t="shared" si="1"/>
        <v>57.333333333333336</v>
      </c>
      <c r="I10" s="8" t="str">
        <f t="shared" si="11"/>
        <v>F</v>
      </c>
      <c r="J10" s="8">
        <f t="shared" si="2"/>
        <v>11</v>
      </c>
      <c r="K10" s="8">
        <f t="shared" si="3"/>
        <v>172200</v>
      </c>
      <c r="L10" s="8">
        <f t="shared" si="4"/>
        <v>222528</v>
      </c>
      <c r="M10" s="8">
        <f t="shared" si="5"/>
        <v>35</v>
      </c>
      <c r="N10" s="8" t="str">
        <f t="shared" si="6"/>
        <v>No</v>
      </c>
      <c r="O10" s="8">
        <f t="shared" si="7"/>
        <v>11</v>
      </c>
      <c r="P10" s="8" t="str">
        <f t="shared" si="8"/>
        <v>Student</v>
      </c>
      <c r="Q10" s="8" t="str">
        <f t="shared" si="9"/>
        <v>STUDENT 9</v>
      </c>
      <c r="R10" s="8" t="str">
        <f t="shared" si="10"/>
        <v>student 9</v>
      </c>
    </row>
    <row r="11" spans="1:24" ht="21.75" customHeight="1" thickBot="1">
      <c r="A11" s="3">
        <v>1010</v>
      </c>
      <c r="B11" s="4" t="s">
        <v>14</v>
      </c>
      <c r="C11" s="4">
        <v>98</v>
      </c>
      <c r="D11" s="4">
        <v>54</v>
      </c>
      <c r="E11" s="4">
        <v>58</v>
      </c>
      <c r="F11" s="6">
        <v>44721</v>
      </c>
      <c r="G11" s="8">
        <f t="shared" si="0"/>
        <v>210</v>
      </c>
      <c r="H11" s="8">
        <f t="shared" si="1"/>
        <v>70</v>
      </c>
      <c r="I11" s="8" t="str">
        <f>IF(H11&gt;=90,"A+",IF(H11&gt;=80,"A",IF(H11&gt;=70,"B",IF(H11&gt;=60,"C","F"))))</f>
        <v>B</v>
      </c>
      <c r="J11" s="8">
        <f>COUNTIFS(C11:C30,"&gt;60")</f>
        <v>11</v>
      </c>
      <c r="K11" s="8">
        <f t="shared" si="3"/>
        <v>306936</v>
      </c>
      <c r="L11" s="8">
        <f t="shared" si="4"/>
        <v>222528</v>
      </c>
      <c r="M11" s="8">
        <f t="shared" si="5"/>
        <v>75</v>
      </c>
      <c r="N11" s="8" t="str">
        <f t="shared" si="6"/>
        <v>No</v>
      </c>
      <c r="O11" s="8">
        <f t="shared" si="7"/>
        <v>11</v>
      </c>
      <c r="P11" s="8" t="str">
        <f t="shared" si="8"/>
        <v>Student</v>
      </c>
      <c r="Q11" s="8" t="str">
        <f t="shared" si="9"/>
        <v>STUDENT 10</v>
      </c>
      <c r="R11" s="8" t="str">
        <f t="shared" si="10"/>
        <v>student 10</v>
      </c>
    </row>
    <row r="12" spans="1:24" ht="21.75" customHeight="1" thickBot="1">
      <c r="A12" s="3">
        <v>1011</v>
      </c>
      <c r="B12" s="4" t="s">
        <v>15</v>
      </c>
      <c r="C12" s="4">
        <v>73</v>
      </c>
      <c r="D12" s="4">
        <v>79</v>
      </c>
      <c r="E12" s="4">
        <v>53</v>
      </c>
      <c r="F12" s="6">
        <v>44901</v>
      </c>
      <c r="G12" s="8">
        <f t="shared" si="0"/>
        <v>205</v>
      </c>
      <c r="H12" s="8">
        <f>AVERAGE(C12:E12)</f>
        <v>68.333333333333329</v>
      </c>
      <c r="I12" s="8" t="str">
        <f t="shared" si="11"/>
        <v>C</v>
      </c>
      <c r="J12" s="8">
        <f t="shared" si="2"/>
        <v>10</v>
      </c>
      <c r="K12" s="8">
        <f t="shared" si="3"/>
        <v>305651</v>
      </c>
      <c r="L12" s="8">
        <f t="shared" si="4"/>
        <v>222528</v>
      </c>
      <c r="M12" s="8">
        <f t="shared" si="5"/>
        <v>60</v>
      </c>
      <c r="N12" s="8" t="str">
        <f>IF(AND(C12&gt;80,D12&gt;80),"Yes","No")</f>
        <v>No</v>
      </c>
      <c r="O12" s="8">
        <f>COUNTIFS(C12:C31,"&gt;50")</f>
        <v>10</v>
      </c>
      <c r="P12" s="8" t="str">
        <f t="shared" si="8"/>
        <v>Student</v>
      </c>
      <c r="Q12" s="8" t="str">
        <f t="shared" si="9"/>
        <v>STUDENT 11</v>
      </c>
      <c r="R12" s="8" t="str">
        <f t="shared" si="10"/>
        <v>student 11</v>
      </c>
    </row>
    <row r="13" spans="1:24" ht="21.75" customHeight="1" thickBot="1">
      <c r="A13" s="3">
        <v>1012</v>
      </c>
      <c r="B13" s="4" t="s">
        <v>16</v>
      </c>
      <c r="C13" s="4">
        <v>85</v>
      </c>
      <c r="D13" s="4">
        <v>89</v>
      </c>
      <c r="E13" s="4">
        <v>79</v>
      </c>
      <c r="F13" s="6">
        <v>45081</v>
      </c>
      <c r="G13" s="8">
        <f t="shared" si="0"/>
        <v>253</v>
      </c>
      <c r="H13" s="8">
        <f t="shared" si="1"/>
        <v>84.333333333333329</v>
      </c>
      <c r="I13" s="8" t="str">
        <f t="shared" si="11"/>
        <v>A</v>
      </c>
      <c r="J13" s="8">
        <f t="shared" si="2"/>
        <v>9</v>
      </c>
      <c r="K13" s="8">
        <f t="shared" si="3"/>
        <v>597635</v>
      </c>
      <c r="L13" s="8">
        <f t="shared" si="4"/>
        <v>222528</v>
      </c>
      <c r="M13" s="8">
        <f t="shared" si="5"/>
        <v>85</v>
      </c>
      <c r="N13" s="8" t="str">
        <f t="shared" si="6"/>
        <v>Yes</v>
      </c>
      <c r="O13" s="8">
        <f t="shared" si="7"/>
        <v>9</v>
      </c>
      <c r="P13" s="8" t="str">
        <f t="shared" si="8"/>
        <v>Student</v>
      </c>
      <c r="Q13" s="8" t="str">
        <f t="shared" si="9"/>
        <v>STUDENT 12</v>
      </c>
      <c r="R13" s="8" t="str">
        <f t="shared" si="10"/>
        <v>student 12</v>
      </c>
    </row>
    <row r="14" spans="1:24" ht="21.75" customHeight="1" thickBot="1">
      <c r="A14" s="3">
        <v>1013</v>
      </c>
      <c r="B14" s="4" t="s">
        <v>17</v>
      </c>
      <c r="C14" s="4">
        <v>98</v>
      </c>
      <c r="D14" s="4">
        <v>90</v>
      </c>
      <c r="E14" s="4">
        <v>97</v>
      </c>
      <c r="F14" s="6">
        <v>45261</v>
      </c>
      <c r="G14" s="8">
        <f t="shared" si="0"/>
        <v>285</v>
      </c>
      <c r="H14" s="8">
        <f t="shared" si="1"/>
        <v>95</v>
      </c>
      <c r="I14" s="8" t="str">
        <f t="shared" si="11"/>
        <v>A+</v>
      </c>
      <c r="J14" s="8">
        <f t="shared" si="2"/>
        <v>8</v>
      </c>
      <c r="K14" s="8">
        <f>C14*D14*E14</f>
        <v>855540</v>
      </c>
      <c r="L14" s="8">
        <f t="shared" si="4"/>
        <v>222528</v>
      </c>
      <c r="M14" s="8">
        <f t="shared" si="5"/>
        <v>95</v>
      </c>
      <c r="N14" s="8" t="str">
        <f t="shared" si="6"/>
        <v>Yes</v>
      </c>
      <c r="O14" s="8">
        <f t="shared" si="7"/>
        <v>8</v>
      </c>
      <c r="P14" s="8" t="str">
        <f t="shared" si="8"/>
        <v>Student</v>
      </c>
      <c r="Q14" s="8" t="str">
        <f t="shared" si="9"/>
        <v>STUDENT 13</v>
      </c>
      <c r="R14" s="8" t="str">
        <f t="shared" si="10"/>
        <v>student 13</v>
      </c>
    </row>
    <row r="15" spans="1:24" ht="21.75" customHeight="1" thickBot="1">
      <c r="A15" s="3">
        <v>1014</v>
      </c>
      <c r="B15" s="4" t="s">
        <v>18</v>
      </c>
      <c r="C15" s="4">
        <v>93</v>
      </c>
      <c r="D15" s="4">
        <v>40</v>
      </c>
      <c r="E15" s="4">
        <v>44</v>
      </c>
      <c r="F15" s="6">
        <v>45441</v>
      </c>
      <c r="G15" s="8">
        <f t="shared" si="0"/>
        <v>177</v>
      </c>
      <c r="H15" s="8">
        <f t="shared" si="1"/>
        <v>59</v>
      </c>
      <c r="I15" s="8" t="str">
        <f>IF(H15&gt;=90,"A+",IF(H15&gt;=80,"A",IF(H15&gt;=70,"B",IF(H15&gt;=60,"C","F"))))</f>
        <v>F</v>
      </c>
      <c r="J15" s="8">
        <f t="shared" si="2"/>
        <v>7</v>
      </c>
      <c r="K15" s="8">
        <f t="shared" si="3"/>
        <v>163680</v>
      </c>
      <c r="L15" s="8">
        <f t="shared" si="4"/>
        <v>222528</v>
      </c>
      <c r="M15" s="8">
        <f t="shared" si="5"/>
        <v>35</v>
      </c>
      <c r="N15" s="8" t="str">
        <f t="shared" si="6"/>
        <v>No</v>
      </c>
      <c r="O15" s="8">
        <f t="shared" si="7"/>
        <v>7</v>
      </c>
      <c r="P15" s="8" t="str">
        <f t="shared" si="8"/>
        <v>Student</v>
      </c>
      <c r="Q15" s="8" t="str">
        <f t="shared" si="9"/>
        <v>STUDENT 14</v>
      </c>
      <c r="R15" s="8" t="str">
        <f t="shared" si="10"/>
        <v>student 14</v>
      </c>
    </row>
    <row r="16" spans="1:24" ht="21" customHeight="1" thickBot="1">
      <c r="A16" s="3">
        <v>1015</v>
      </c>
      <c r="B16" s="4" t="s">
        <v>19</v>
      </c>
      <c r="C16" s="4">
        <v>70</v>
      </c>
      <c r="D16" s="4">
        <v>51</v>
      </c>
      <c r="E16" s="4">
        <v>75</v>
      </c>
      <c r="F16" s="6">
        <v>45621</v>
      </c>
      <c r="G16" s="8">
        <f t="shared" si="0"/>
        <v>196</v>
      </c>
      <c r="H16" s="8">
        <f t="shared" si="1"/>
        <v>65.333333333333329</v>
      </c>
      <c r="I16" s="8" t="str">
        <f t="shared" si="11"/>
        <v>C</v>
      </c>
      <c r="J16" s="8">
        <f t="shared" si="2"/>
        <v>6</v>
      </c>
      <c r="K16" s="8">
        <f t="shared" si="3"/>
        <v>267750</v>
      </c>
      <c r="L16" s="8">
        <f t="shared" si="4"/>
        <v>222528</v>
      </c>
      <c r="M16" s="8">
        <f>IF(I16="A+",95,IF(I16="A",85,IF(I16="B",75,IF(I16="C",60,IF(I16="F",35,0)))))</f>
        <v>60</v>
      </c>
      <c r="N16" s="8" t="str">
        <f t="shared" si="6"/>
        <v>No</v>
      </c>
      <c r="O16" s="8">
        <f t="shared" si="7"/>
        <v>6</v>
      </c>
      <c r="P16" s="8" t="str">
        <f t="shared" si="8"/>
        <v>Student</v>
      </c>
      <c r="Q16" s="8" t="str">
        <f t="shared" si="9"/>
        <v>STUDENT 15</v>
      </c>
      <c r="R16" s="8" t="str">
        <f t="shared" si="10"/>
        <v>student 15</v>
      </c>
    </row>
    <row r="17" spans="1:18" ht="21" customHeight="1" thickBot="1">
      <c r="A17" s="3">
        <v>1016</v>
      </c>
      <c r="B17" s="4" t="s">
        <v>20</v>
      </c>
      <c r="C17" s="4">
        <v>98</v>
      </c>
      <c r="D17" s="4">
        <v>77</v>
      </c>
      <c r="E17" s="4">
        <v>60</v>
      </c>
      <c r="F17" s="6">
        <v>45801</v>
      </c>
      <c r="G17" s="8">
        <f t="shared" si="0"/>
        <v>235</v>
      </c>
      <c r="H17" s="8">
        <f t="shared" si="1"/>
        <v>78.333333333333329</v>
      </c>
      <c r="I17" s="8" t="str">
        <f t="shared" si="11"/>
        <v>B</v>
      </c>
      <c r="J17" s="8">
        <f t="shared" si="2"/>
        <v>5</v>
      </c>
      <c r="K17" s="8">
        <f t="shared" si="3"/>
        <v>452760</v>
      </c>
      <c r="L17" s="8">
        <f t="shared" si="4"/>
        <v>222528</v>
      </c>
      <c r="M17" s="8">
        <f t="shared" si="5"/>
        <v>75</v>
      </c>
      <c r="N17" s="8" t="str">
        <f t="shared" si="6"/>
        <v>No</v>
      </c>
      <c r="O17" s="8">
        <f t="shared" si="7"/>
        <v>5</v>
      </c>
      <c r="P17" s="8" t="str">
        <f t="shared" si="8"/>
        <v>Student</v>
      </c>
      <c r="Q17" s="8" t="str">
        <f t="shared" si="9"/>
        <v>STUDENT 16</v>
      </c>
      <c r="R17" s="8" t="str">
        <f t="shared" si="10"/>
        <v>student 16</v>
      </c>
    </row>
    <row r="18" spans="1:18" ht="21.75" customHeight="1" thickBot="1">
      <c r="A18" s="3">
        <v>1017</v>
      </c>
      <c r="B18" s="4" t="s">
        <v>21</v>
      </c>
      <c r="C18" s="4">
        <v>66</v>
      </c>
      <c r="D18" s="4">
        <v>59</v>
      </c>
      <c r="E18" s="4">
        <v>40</v>
      </c>
      <c r="F18" s="6">
        <v>45981</v>
      </c>
      <c r="G18" s="8">
        <f t="shared" si="0"/>
        <v>165</v>
      </c>
      <c r="H18" s="8">
        <f t="shared" si="1"/>
        <v>55</v>
      </c>
      <c r="I18" s="8" t="str">
        <f t="shared" si="11"/>
        <v>F</v>
      </c>
      <c r="J18" s="8">
        <f t="shared" si="2"/>
        <v>4</v>
      </c>
      <c r="K18" s="8">
        <f t="shared" si="3"/>
        <v>155760</v>
      </c>
      <c r="L18" s="8">
        <f t="shared" si="4"/>
        <v>222528</v>
      </c>
      <c r="M18" s="8">
        <f t="shared" si="5"/>
        <v>35</v>
      </c>
      <c r="N18" s="8" t="str">
        <f t="shared" si="6"/>
        <v>No</v>
      </c>
      <c r="O18" s="8">
        <f t="shared" si="7"/>
        <v>4</v>
      </c>
      <c r="P18" s="8" t="str">
        <f t="shared" si="8"/>
        <v>Student</v>
      </c>
      <c r="Q18" s="8" t="str">
        <f t="shared" si="9"/>
        <v>STUDENT 17</v>
      </c>
      <c r="R18" s="8" t="str">
        <f t="shared" si="10"/>
        <v>student 17</v>
      </c>
    </row>
    <row r="19" spans="1:18" ht="21.75" customHeight="1" thickBot="1">
      <c r="A19" s="3">
        <v>1018</v>
      </c>
      <c r="B19" s="4" t="s">
        <v>22</v>
      </c>
      <c r="C19" s="4">
        <v>82</v>
      </c>
      <c r="D19" s="4">
        <v>48</v>
      </c>
      <c r="E19" s="4">
        <v>79</v>
      </c>
      <c r="F19" s="6">
        <v>46161</v>
      </c>
      <c r="G19" s="8">
        <f t="shared" si="0"/>
        <v>209</v>
      </c>
      <c r="H19" s="8">
        <f t="shared" si="1"/>
        <v>69.666666666666671</v>
      </c>
      <c r="I19" s="8" t="str">
        <f t="shared" si="11"/>
        <v>C</v>
      </c>
      <c r="J19" s="8">
        <f t="shared" si="2"/>
        <v>3</v>
      </c>
      <c r="K19" s="8">
        <f t="shared" si="3"/>
        <v>310944</v>
      </c>
      <c r="L19" s="8">
        <f t="shared" si="4"/>
        <v>222528</v>
      </c>
      <c r="M19" s="8">
        <f t="shared" si="5"/>
        <v>60</v>
      </c>
      <c r="N19" s="8" t="str">
        <f t="shared" si="6"/>
        <v>No</v>
      </c>
      <c r="O19" s="8">
        <f t="shared" si="7"/>
        <v>3</v>
      </c>
      <c r="P19" s="8" t="str">
        <f t="shared" si="8"/>
        <v>Student</v>
      </c>
      <c r="Q19" s="8" t="str">
        <f t="shared" si="9"/>
        <v>STUDENT 18</v>
      </c>
      <c r="R19" s="8" t="str">
        <f>LOWER(B19)</f>
        <v>student 18</v>
      </c>
    </row>
    <row r="20" spans="1:18" ht="21.75" customHeight="1" thickBot="1">
      <c r="A20" s="11">
        <v>1019</v>
      </c>
      <c r="B20" s="4" t="s">
        <v>23</v>
      </c>
      <c r="C20" s="4">
        <v>90</v>
      </c>
      <c r="D20" s="4">
        <v>78</v>
      </c>
      <c r="E20" s="4">
        <v>60</v>
      </c>
      <c r="F20" s="6">
        <v>46341</v>
      </c>
      <c r="G20" s="8">
        <f t="shared" si="0"/>
        <v>228</v>
      </c>
      <c r="H20" s="8">
        <f t="shared" si="1"/>
        <v>76</v>
      </c>
      <c r="I20" s="8" t="str">
        <f>IF(H20&gt;=90,"A+",IF(H20&gt;=80,"A",IF(H20&gt;=70,"B",IF(H20&gt;=60,"C","F"))))</f>
        <v>B</v>
      </c>
      <c r="J20" s="8">
        <f t="shared" si="2"/>
        <v>2</v>
      </c>
      <c r="K20" s="8">
        <f t="shared" si="3"/>
        <v>421200</v>
      </c>
      <c r="L20" s="8">
        <f t="shared" si="4"/>
        <v>222528</v>
      </c>
      <c r="M20" s="8">
        <f t="shared" si="5"/>
        <v>75</v>
      </c>
      <c r="N20" s="8" t="str">
        <f t="shared" si="6"/>
        <v>No</v>
      </c>
      <c r="O20" s="8">
        <f t="shared" si="7"/>
        <v>2</v>
      </c>
      <c r="P20" s="8" t="str">
        <f t="shared" si="8"/>
        <v>Student</v>
      </c>
      <c r="Q20" s="8" t="str">
        <f t="shared" si="9"/>
        <v>STUDENT 19</v>
      </c>
      <c r="R20" s="8" t="str">
        <f t="shared" si="10"/>
        <v>student 19</v>
      </c>
    </row>
    <row r="21" spans="1:18" ht="21.75" customHeight="1" thickBot="1">
      <c r="A21" s="11">
        <v>1020</v>
      </c>
      <c r="B21" s="4" t="s">
        <v>24</v>
      </c>
      <c r="C21" s="4">
        <v>83</v>
      </c>
      <c r="D21" s="4">
        <v>92</v>
      </c>
      <c r="E21" s="4">
        <v>55</v>
      </c>
      <c r="F21" s="6">
        <v>46521</v>
      </c>
      <c r="G21" s="8">
        <f t="shared" si="0"/>
        <v>230</v>
      </c>
      <c r="H21" s="8">
        <f t="shared" si="1"/>
        <v>76.666666666666671</v>
      </c>
      <c r="I21" s="8" t="str">
        <f t="shared" si="11"/>
        <v>B</v>
      </c>
      <c r="J21" s="8">
        <f t="shared" si="2"/>
        <v>1</v>
      </c>
      <c r="K21" s="8">
        <f t="shared" si="3"/>
        <v>419980</v>
      </c>
      <c r="L21" s="8">
        <f t="shared" si="4"/>
        <v>222528</v>
      </c>
      <c r="M21" s="8">
        <f t="shared" si="5"/>
        <v>75</v>
      </c>
      <c r="N21" s="8" t="str">
        <f t="shared" si="6"/>
        <v>Yes</v>
      </c>
      <c r="O21" s="8">
        <f>COUNTIFS(C21:C40,"&gt;50")</f>
        <v>1</v>
      </c>
      <c r="P21" s="8" t="str">
        <f t="shared" si="8"/>
        <v>Student</v>
      </c>
      <c r="Q21" s="8" t="str">
        <f t="shared" si="9"/>
        <v>STUDENT 20</v>
      </c>
      <c r="R21" s="8" t="str">
        <f t="shared" si="10"/>
        <v>student 20</v>
      </c>
    </row>
  </sheetData>
  <autoFilter ref="A1:N21"/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1"/>
  <sheetViews>
    <sheetView topLeftCell="A7" zoomScale="80" zoomScaleNormal="80" workbookViewId="0">
      <selection activeCell="H2" sqref="H2:H21"/>
    </sheetView>
  </sheetViews>
  <sheetFormatPr defaultRowHeight="15"/>
  <cols>
    <col min="1" max="1" width="14.5703125" customWidth="1"/>
    <col min="2" max="2" width="15.5703125" customWidth="1"/>
    <col min="3" max="3" width="15.28515625" customWidth="1"/>
    <col min="4" max="4" width="14.85546875" customWidth="1"/>
    <col min="5" max="5" width="13.5703125" customWidth="1"/>
    <col min="6" max="6" width="21.28515625" customWidth="1"/>
    <col min="7" max="7" width="17.85546875" customWidth="1"/>
    <col min="8" max="8" width="12.5703125" customWidth="1"/>
    <col min="10" max="11" width="13.140625" customWidth="1"/>
  </cols>
  <sheetData>
    <row r="1" spans="1:19" ht="30" customHeight="1" thickBot="1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5" t="s">
        <v>30</v>
      </c>
      <c r="G1" s="7" t="s">
        <v>92</v>
      </c>
      <c r="H1" s="7" t="s">
        <v>96</v>
      </c>
      <c r="I1" s="7" t="s">
        <v>98</v>
      </c>
      <c r="J1" s="7" t="s">
        <v>108</v>
      </c>
      <c r="K1" s="16" t="s">
        <v>118</v>
      </c>
      <c r="O1" s="15"/>
      <c r="P1" s="15" t="s">
        <v>100</v>
      </c>
      <c r="Q1" s="15"/>
      <c r="R1" s="15"/>
      <c r="S1" s="15">
        <f>SUMIFS(E2:E21,C2:C21,"West",B2:B21,"Printer")</f>
        <v>51381</v>
      </c>
    </row>
    <row r="2" spans="1:19" ht="32.25" customHeight="1" thickBot="1">
      <c r="A2" s="3">
        <v>2001</v>
      </c>
      <c r="B2" s="4" t="s">
        <v>31</v>
      </c>
      <c r="C2" s="4" t="s">
        <v>32</v>
      </c>
      <c r="D2" s="4" t="s">
        <v>33</v>
      </c>
      <c r="E2" s="4">
        <v>7048</v>
      </c>
      <c r="F2" s="6">
        <v>44927</v>
      </c>
      <c r="G2" s="8">
        <f>VLOOKUP(A2,A1:F21,5,FALSE)</f>
        <v>7048</v>
      </c>
      <c r="H2" s="8">
        <f>IF(G2&gt;=50000,G2*10%,IF(G2&gt;=15000,G2*10%,IF(G2&gt;=10000,G2*5%,0)))</f>
        <v>0</v>
      </c>
      <c r="I2" s="8" t="str">
        <f>IF(OR(G2&gt;=20000,C2="South"),"Yes","No")</f>
        <v>Yes</v>
      </c>
      <c r="J2" s="8" t="str">
        <f>TEXT(F2,"mmmm")</f>
        <v>January</v>
      </c>
      <c r="K2" s="8">
        <f>SUMIFS($E$2:$E$21,$J$2:$J$21,J2)</f>
        <v>48148</v>
      </c>
      <c r="L2" t="s">
        <v>38</v>
      </c>
      <c r="M2" t="s">
        <v>109</v>
      </c>
      <c r="N2">
        <f>INDEX($E$2:$E$21,MATCH(1,INDEX(($D$2:$D$21=L2)*($J$2:$J$21=M2),0),0))</f>
        <v>23672</v>
      </c>
      <c r="P2" s="15" t="s">
        <v>105</v>
      </c>
      <c r="Q2" s="15"/>
      <c r="R2" s="15" t="s">
        <v>106</v>
      </c>
      <c r="S2">
        <v>2004</v>
      </c>
    </row>
    <row r="3" spans="1:19" ht="30" customHeight="1" thickBot="1">
      <c r="A3" s="3">
        <v>2002</v>
      </c>
      <c r="B3" s="4" t="s">
        <v>34</v>
      </c>
      <c r="C3" s="4" t="s">
        <v>35</v>
      </c>
      <c r="D3" s="4" t="s">
        <v>36</v>
      </c>
      <c r="E3" s="4">
        <v>17428</v>
      </c>
      <c r="F3" s="6">
        <v>44942</v>
      </c>
      <c r="G3" s="8">
        <f t="shared" ref="G3:G21" si="0">VLOOKUP(A3,A2:F22,5,FALSE)</f>
        <v>17428</v>
      </c>
      <c r="H3" s="8">
        <f t="shared" ref="H3:H21" si="1">IF(G3&gt;=50000,G3*10%,IF(G3&gt;=15000,G3*10%,IF(G3&gt;=10000,G3*5%,0)))</f>
        <v>1742.8000000000002</v>
      </c>
      <c r="I3" s="8" t="str">
        <f t="shared" ref="I3:I21" si="2">IF(OR(G3&gt;=20000,C3="South"),"Yes","No")</f>
        <v>No</v>
      </c>
      <c r="J3" s="8" t="str">
        <f t="shared" ref="J3:J21" si="3">TEXT(F3,"mmmm")</f>
        <v>January</v>
      </c>
      <c r="K3" s="8">
        <f t="shared" ref="K3:K21" si="4">SUMIFS($E$2:$E$21,$J$2:$J$21,J3)</f>
        <v>48148</v>
      </c>
      <c r="N3">
        <f>SUMIFS($E:$E,$J:$J,M2)</f>
        <v>48148</v>
      </c>
      <c r="R3" s="15" t="s">
        <v>107</v>
      </c>
      <c r="S3">
        <f>VLOOKUP(S2,$A$1:$I$21,7,FALSE)</f>
        <v>5264</v>
      </c>
    </row>
    <row r="4" spans="1:19" ht="28.5" customHeight="1" thickBot="1">
      <c r="A4" s="3">
        <v>2003</v>
      </c>
      <c r="B4" s="4" t="s">
        <v>37</v>
      </c>
      <c r="C4" s="4" t="s">
        <v>32</v>
      </c>
      <c r="D4" s="4" t="s">
        <v>38</v>
      </c>
      <c r="E4" s="4">
        <v>23672</v>
      </c>
      <c r="F4" s="6">
        <v>44957</v>
      </c>
      <c r="G4" s="8">
        <f t="shared" si="0"/>
        <v>23672</v>
      </c>
      <c r="H4" s="8">
        <f t="shared" si="1"/>
        <v>2367.2000000000003</v>
      </c>
      <c r="I4" s="8" t="str">
        <f t="shared" si="2"/>
        <v>Yes</v>
      </c>
      <c r="J4" s="8" t="str">
        <f t="shared" si="3"/>
        <v>January</v>
      </c>
      <c r="K4" s="8">
        <f t="shared" si="4"/>
        <v>48148</v>
      </c>
      <c r="Q4" s="15" t="s">
        <v>116</v>
      </c>
      <c r="R4">
        <f>MATCH(Q5,$B$1:$B$21,0)</f>
        <v>2</v>
      </c>
    </row>
    <row r="5" spans="1:19" ht="31.5" customHeight="1" thickBot="1">
      <c r="A5" s="3">
        <v>2004</v>
      </c>
      <c r="B5" s="10" t="s">
        <v>34</v>
      </c>
      <c r="C5" s="4" t="s">
        <v>39</v>
      </c>
      <c r="D5" s="4" t="s">
        <v>40</v>
      </c>
      <c r="E5" s="4">
        <v>5264</v>
      </c>
      <c r="F5" s="6">
        <v>44972</v>
      </c>
      <c r="G5" s="8">
        <f t="shared" si="0"/>
        <v>5264</v>
      </c>
      <c r="H5" s="8">
        <f t="shared" si="1"/>
        <v>0</v>
      </c>
      <c r="I5" s="8" t="str">
        <f t="shared" si="2"/>
        <v>No</v>
      </c>
      <c r="J5" s="8" t="str">
        <f t="shared" si="3"/>
        <v>February</v>
      </c>
      <c r="K5" s="8">
        <f t="shared" si="4"/>
        <v>5264</v>
      </c>
      <c r="M5" t="s">
        <v>26</v>
      </c>
      <c r="Q5" t="s">
        <v>31</v>
      </c>
    </row>
    <row r="6" spans="1:19" ht="32.25" customHeight="1" thickBot="1">
      <c r="A6" s="3">
        <v>2005</v>
      </c>
      <c r="B6" s="10" t="s">
        <v>31</v>
      </c>
      <c r="C6" s="4" t="s">
        <v>41</v>
      </c>
      <c r="D6" s="4" t="s">
        <v>42</v>
      </c>
      <c r="E6" s="4">
        <v>43388</v>
      </c>
      <c r="F6" s="6">
        <v>44987</v>
      </c>
      <c r="G6" s="8">
        <f t="shared" si="0"/>
        <v>43388</v>
      </c>
      <c r="H6" s="8">
        <f t="shared" si="1"/>
        <v>4338.8</v>
      </c>
      <c r="I6" s="8" t="str">
        <f t="shared" si="2"/>
        <v>Yes</v>
      </c>
      <c r="J6" s="8" t="str">
        <f t="shared" si="3"/>
        <v>March</v>
      </c>
      <c r="K6" s="8">
        <f t="shared" si="4"/>
        <v>63145</v>
      </c>
      <c r="L6">
        <v>2005</v>
      </c>
      <c r="N6" t="str">
        <f>INDEX($A$2:$J$21,MATCH($L$6,$A$2:$A$21,0),MATCH(M5,$A$1:$J$1,0))</f>
        <v>Keyboard</v>
      </c>
    </row>
    <row r="7" spans="1:19" ht="27.75" customHeight="1" thickBot="1">
      <c r="A7" s="3">
        <v>2006</v>
      </c>
      <c r="B7" s="4" t="s">
        <v>37</v>
      </c>
      <c r="C7" s="4" t="s">
        <v>41</v>
      </c>
      <c r="D7" s="4" t="s">
        <v>43</v>
      </c>
      <c r="E7" s="4">
        <v>19757</v>
      </c>
      <c r="F7" s="6">
        <v>45002</v>
      </c>
      <c r="G7" s="8">
        <f t="shared" si="0"/>
        <v>19757</v>
      </c>
      <c r="H7" s="8">
        <f t="shared" si="1"/>
        <v>1975.7</v>
      </c>
      <c r="I7" s="8" t="str">
        <f t="shared" si="2"/>
        <v>No</v>
      </c>
      <c r="J7" s="8" t="str">
        <f t="shared" si="3"/>
        <v>March</v>
      </c>
      <c r="K7" s="8">
        <f t="shared" si="4"/>
        <v>63145</v>
      </c>
    </row>
    <row r="8" spans="1:19" ht="31.5" customHeight="1" thickBot="1">
      <c r="A8" s="3">
        <v>2007</v>
      </c>
      <c r="B8" s="4" t="s">
        <v>37</v>
      </c>
      <c r="C8" s="4" t="s">
        <v>39</v>
      </c>
      <c r="D8" s="4" t="s">
        <v>44</v>
      </c>
      <c r="E8" s="4">
        <v>32058</v>
      </c>
      <c r="F8" s="6">
        <v>45017</v>
      </c>
      <c r="G8" s="8">
        <f t="shared" si="0"/>
        <v>32058</v>
      </c>
      <c r="H8" s="8">
        <f>IF(G8&gt;=50000,G8*10%,IF(G8&gt;=15000,G8*10%,IF(G8&gt;=10000,G8*5%,0)))</f>
        <v>3205.8</v>
      </c>
      <c r="I8" s="8" t="str">
        <f>IF(OR(G8&gt;=20000,C8="South"),"Yes","No")</f>
        <v>Yes</v>
      </c>
      <c r="J8" s="8" t="str">
        <f t="shared" si="3"/>
        <v>April</v>
      </c>
      <c r="K8" s="8">
        <f t="shared" si="4"/>
        <v>78487</v>
      </c>
      <c r="L8" t="s">
        <v>38</v>
      </c>
      <c r="M8">
        <f>INDEX(E2:E17,MATCH(L8,D2:D17,0))</f>
        <v>23672</v>
      </c>
    </row>
    <row r="9" spans="1:19" ht="27.75" customHeight="1" thickBot="1">
      <c r="A9" s="3">
        <v>2008</v>
      </c>
      <c r="B9" s="4" t="s">
        <v>31</v>
      </c>
      <c r="C9" s="4" t="s">
        <v>39</v>
      </c>
      <c r="D9" s="4" t="s">
        <v>45</v>
      </c>
      <c r="E9" s="4">
        <v>46429</v>
      </c>
      <c r="F9" s="6">
        <v>45032</v>
      </c>
      <c r="G9" s="8">
        <f t="shared" si="0"/>
        <v>46429</v>
      </c>
      <c r="H9" s="8">
        <f t="shared" si="1"/>
        <v>4642.9000000000005</v>
      </c>
      <c r="I9" s="8" t="str">
        <f t="shared" si="2"/>
        <v>Yes</v>
      </c>
      <c r="J9" s="8" t="str">
        <f t="shared" si="3"/>
        <v>April</v>
      </c>
      <c r="K9" s="8">
        <f t="shared" si="4"/>
        <v>78487</v>
      </c>
    </row>
    <row r="10" spans="1:19" ht="25.5" customHeight="1" thickBot="1">
      <c r="A10" s="3">
        <v>2009</v>
      </c>
      <c r="B10" s="4" t="s">
        <v>34</v>
      </c>
      <c r="C10" s="4" t="s">
        <v>39</v>
      </c>
      <c r="D10" s="4" t="s">
        <v>46</v>
      </c>
      <c r="E10" s="4">
        <v>19746</v>
      </c>
      <c r="F10" s="6">
        <v>45047</v>
      </c>
      <c r="G10" s="8">
        <f t="shared" si="0"/>
        <v>19746</v>
      </c>
      <c r="H10" s="8">
        <f t="shared" si="1"/>
        <v>1974.6000000000001</v>
      </c>
      <c r="I10" s="8" t="str">
        <f t="shared" si="2"/>
        <v>No</v>
      </c>
      <c r="J10" s="8" t="str">
        <f t="shared" si="3"/>
        <v>May</v>
      </c>
      <c r="K10" s="8">
        <f t="shared" si="4"/>
        <v>88851</v>
      </c>
    </row>
    <row r="11" spans="1:19" ht="31.5" customHeight="1" thickBot="1">
      <c r="A11" s="3">
        <v>2010</v>
      </c>
      <c r="B11" s="4" t="s">
        <v>31</v>
      </c>
      <c r="C11" s="4" t="s">
        <v>32</v>
      </c>
      <c r="D11" s="4" t="s">
        <v>47</v>
      </c>
      <c r="E11" s="4">
        <v>35185</v>
      </c>
      <c r="F11" s="6">
        <v>45062</v>
      </c>
      <c r="G11" s="8">
        <f t="shared" si="0"/>
        <v>35185</v>
      </c>
      <c r="H11" s="8">
        <f t="shared" si="1"/>
        <v>3518.5</v>
      </c>
      <c r="I11" s="8" t="str">
        <f t="shared" si="2"/>
        <v>Yes</v>
      </c>
      <c r="J11" s="8" t="str">
        <f t="shared" si="3"/>
        <v>May</v>
      </c>
      <c r="K11" s="8">
        <f t="shared" si="4"/>
        <v>88851</v>
      </c>
    </row>
    <row r="12" spans="1:19" ht="31.5" customHeight="1" thickBot="1">
      <c r="A12" s="3">
        <v>2011</v>
      </c>
      <c r="B12" s="4" t="s">
        <v>31</v>
      </c>
      <c r="C12" s="4" t="s">
        <v>39</v>
      </c>
      <c r="D12" s="4" t="s">
        <v>48</v>
      </c>
      <c r="E12" s="4">
        <v>33920</v>
      </c>
      <c r="F12" s="6">
        <v>45077</v>
      </c>
      <c r="G12" s="8">
        <f t="shared" si="0"/>
        <v>33920</v>
      </c>
      <c r="H12" s="8">
        <f t="shared" si="1"/>
        <v>3392</v>
      </c>
      <c r="I12" s="8" t="str">
        <f t="shared" si="2"/>
        <v>Yes</v>
      </c>
      <c r="J12" s="8" t="str">
        <f t="shared" si="3"/>
        <v>May</v>
      </c>
      <c r="K12" s="8">
        <f t="shared" si="4"/>
        <v>88851</v>
      </c>
    </row>
    <row r="13" spans="1:19" ht="30" customHeight="1" thickBot="1">
      <c r="A13" s="3">
        <v>2012</v>
      </c>
      <c r="B13" s="4" t="s">
        <v>49</v>
      </c>
      <c r="C13" s="4" t="s">
        <v>41</v>
      </c>
      <c r="D13" s="4" t="s">
        <v>50</v>
      </c>
      <c r="E13" s="4">
        <v>35611</v>
      </c>
      <c r="F13" s="6">
        <v>45092</v>
      </c>
      <c r="G13" s="8">
        <f t="shared" si="0"/>
        <v>35611</v>
      </c>
      <c r="H13" s="8">
        <f>IF(G13&gt;=50000,G13*10%,IF(G13&gt;=15000,G13*10%,IF(G13&gt;=10000,G13*5%,0)))</f>
        <v>3561.1000000000004</v>
      </c>
      <c r="I13" s="8" t="str">
        <f>IF(OR(G13&gt;=20000,C13="South"),"Yes","No")</f>
        <v>Yes</v>
      </c>
      <c r="J13" s="8" t="str">
        <f t="shared" si="3"/>
        <v>June</v>
      </c>
      <c r="K13" s="8">
        <f t="shared" si="4"/>
        <v>51171</v>
      </c>
    </row>
    <row r="14" spans="1:19" ht="30" customHeight="1" thickBot="1">
      <c r="A14" s="3">
        <v>2013</v>
      </c>
      <c r="B14" s="4" t="s">
        <v>51</v>
      </c>
      <c r="C14" s="4" t="s">
        <v>39</v>
      </c>
      <c r="D14" s="4" t="s">
        <v>52</v>
      </c>
      <c r="E14" s="4">
        <v>15560</v>
      </c>
      <c r="F14" s="6">
        <v>45107</v>
      </c>
      <c r="G14" s="8">
        <f t="shared" si="0"/>
        <v>15560</v>
      </c>
      <c r="H14" s="8">
        <f t="shared" si="1"/>
        <v>1556</v>
      </c>
      <c r="I14" s="8" t="str">
        <f t="shared" si="2"/>
        <v>No</v>
      </c>
      <c r="J14" s="8" t="str">
        <f t="shared" si="3"/>
        <v>June</v>
      </c>
      <c r="K14" s="8">
        <f>SUMIFS($E$2:$E$21,$J$2:$J$21,J14)</f>
        <v>51171</v>
      </c>
    </row>
    <row r="15" spans="1:19" ht="30.75" customHeight="1" thickBot="1">
      <c r="A15" s="3">
        <v>2014</v>
      </c>
      <c r="B15" s="4" t="s">
        <v>51</v>
      </c>
      <c r="C15" s="4" t="s">
        <v>32</v>
      </c>
      <c r="D15" s="4" t="s">
        <v>53</v>
      </c>
      <c r="E15" s="4">
        <v>7283</v>
      </c>
      <c r="F15" s="6">
        <v>45122</v>
      </c>
      <c r="G15" s="8">
        <f t="shared" si="0"/>
        <v>7283</v>
      </c>
      <c r="H15" s="8">
        <f t="shared" si="1"/>
        <v>0</v>
      </c>
      <c r="I15" s="8" t="str">
        <f t="shared" si="2"/>
        <v>Yes</v>
      </c>
      <c r="J15" s="8" t="str">
        <f t="shared" si="3"/>
        <v>July</v>
      </c>
      <c r="K15" s="8">
        <f t="shared" si="4"/>
        <v>22961</v>
      </c>
    </row>
    <row r="16" spans="1:19" ht="30.75" customHeight="1" thickBot="1">
      <c r="A16" s="3">
        <v>2015</v>
      </c>
      <c r="B16" s="4" t="s">
        <v>51</v>
      </c>
      <c r="C16" s="4" t="s">
        <v>39</v>
      </c>
      <c r="D16" s="4" t="s">
        <v>54</v>
      </c>
      <c r="E16" s="4">
        <v>15678</v>
      </c>
      <c r="F16" s="6">
        <v>45137</v>
      </c>
      <c r="G16" s="8">
        <f t="shared" si="0"/>
        <v>15678</v>
      </c>
      <c r="H16" s="8">
        <f t="shared" si="1"/>
        <v>1567.8000000000002</v>
      </c>
      <c r="I16" s="8" t="str">
        <f t="shared" si="2"/>
        <v>No</v>
      </c>
      <c r="J16" s="8" t="str">
        <f t="shared" si="3"/>
        <v>July</v>
      </c>
      <c r="K16" s="8">
        <f t="shared" si="4"/>
        <v>22961</v>
      </c>
    </row>
    <row r="17" spans="1:11" ht="26.25" customHeight="1" thickBot="1">
      <c r="A17" s="3">
        <v>2016</v>
      </c>
      <c r="B17" s="4" t="s">
        <v>37</v>
      </c>
      <c r="C17" s="4" t="s">
        <v>39</v>
      </c>
      <c r="D17" s="4" t="s">
        <v>55</v>
      </c>
      <c r="E17" s="4">
        <v>5277</v>
      </c>
      <c r="F17" s="6">
        <v>45152</v>
      </c>
      <c r="G17" s="8">
        <f t="shared" si="0"/>
        <v>5277</v>
      </c>
      <c r="H17" s="8">
        <f t="shared" si="1"/>
        <v>0</v>
      </c>
      <c r="I17" s="8" t="str">
        <f t="shared" si="2"/>
        <v>No</v>
      </c>
      <c r="J17" s="8" t="str">
        <f t="shared" si="3"/>
        <v>August</v>
      </c>
      <c r="K17" s="8">
        <f t="shared" si="4"/>
        <v>47148</v>
      </c>
    </row>
    <row r="18" spans="1:11" ht="32.25" customHeight="1" thickBot="1">
      <c r="A18" s="3">
        <v>2017</v>
      </c>
      <c r="B18" s="4" t="s">
        <v>49</v>
      </c>
      <c r="C18" s="4" t="s">
        <v>41</v>
      </c>
      <c r="D18" s="4" t="s">
        <v>56</v>
      </c>
      <c r="E18" s="4">
        <v>41871</v>
      </c>
      <c r="F18" s="6">
        <v>45167</v>
      </c>
      <c r="G18" s="8">
        <f t="shared" si="0"/>
        <v>41871</v>
      </c>
      <c r="H18" s="8">
        <f t="shared" si="1"/>
        <v>4187.1000000000004</v>
      </c>
      <c r="I18" s="8" t="str">
        <f t="shared" si="2"/>
        <v>Yes</v>
      </c>
      <c r="J18" s="8" t="str">
        <f t="shared" si="3"/>
        <v>August</v>
      </c>
      <c r="K18" s="8">
        <f t="shared" si="4"/>
        <v>47148</v>
      </c>
    </row>
    <row r="19" spans="1:11" ht="30.75" customHeight="1" thickBot="1">
      <c r="A19" s="3">
        <v>2018</v>
      </c>
      <c r="B19" s="4" t="s">
        <v>49</v>
      </c>
      <c r="C19" s="4" t="s">
        <v>35</v>
      </c>
      <c r="D19" s="4" t="s">
        <v>57</v>
      </c>
      <c r="E19" s="4">
        <v>38161</v>
      </c>
      <c r="F19" s="6">
        <v>45182</v>
      </c>
      <c r="G19" s="8">
        <f t="shared" si="0"/>
        <v>38161</v>
      </c>
      <c r="H19" s="8">
        <f>IF(G19&gt;=50000,G19*10%,IF(G19&gt;=15000,G19*10%,IF(G19&gt;=10000,G19*5%,0)))</f>
        <v>3816.1000000000004</v>
      </c>
      <c r="I19" s="8" t="str">
        <f>IF(OR(G19&gt;=20000,C19="South"),"Yes","No")</f>
        <v>Yes</v>
      </c>
      <c r="J19" s="8" t="str">
        <f t="shared" si="3"/>
        <v>September</v>
      </c>
      <c r="K19" s="8">
        <f t="shared" si="4"/>
        <v>68597</v>
      </c>
    </row>
    <row r="20" spans="1:11" ht="30" customHeight="1" thickBot="1">
      <c r="A20" s="3">
        <v>2019</v>
      </c>
      <c r="B20" s="4" t="s">
        <v>37</v>
      </c>
      <c r="C20" s="4" t="s">
        <v>35</v>
      </c>
      <c r="D20" s="4" t="s">
        <v>58</v>
      </c>
      <c r="E20" s="4">
        <v>30436</v>
      </c>
      <c r="F20" s="6">
        <v>45197</v>
      </c>
      <c r="G20" s="8">
        <f t="shared" si="0"/>
        <v>30436</v>
      </c>
      <c r="H20" s="8">
        <f t="shared" si="1"/>
        <v>3043.6000000000004</v>
      </c>
      <c r="I20" s="8" t="str">
        <f t="shared" si="2"/>
        <v>Yes</v>
      </c>
      <c r="J20" s="8" t="str">
        <f t="shared" si="3"/>
        <v>September</v>
      </c>
      <c r="K20" s="8">
        <f t="shared" si="4"/>
        <v>68597</v>
      </c>
    </row>
    <row r="21" spans="1:11" ht="31.5" customHeight="1" thickBot="1">
      <c r="A21" s="3">
        <v>2020</v>
      </c>
      <c r="B21" s="4" t="s">
        <v>34</v>
      </c>
      <c r="C21" s="4" t="s">
        <v>35</v>
      </c>
      <c r="D21" s="4" t="s">
        <v>59</v>
      </c>
      <c r="E21" s="4">
        <v>33953</v>
      </c>
      <c r="F21" s="6">
        <v>45212</v>
      </c>
      <c r="G21" s="8">
        <f t="shared" si="0"/>
        <v>33953</v>
      </c>
      <c r="H21" s="8">
        <f t="shared" si="1"/>
        <v>3395.3</v>
      </c>
      <c r="I21" s="8" t="str">
        <f t="shared" si="2"/>
        <v>Yes</v>
      </c>
      <c r="J21" s="8" t="str">
        <f t="shared" si="3"/>
        <v>October</v>
      </c>
      <c r="K21" s="8">
        <f t="shared" si="4"/>
        <v>33953</v>
      </c>
    </row>
  </sheetData>
  <autoFilter ref="A1:H2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zoomScale="110" zoomScaleNormal="110" workbookViewId="0">
      <selection activeCell="B22" sqref="B22"/>
    </sheetView>
  </sheetViews>
  <sheetFormatPr defaultRowHeight="15"/>
  <cols>
    <col min="1" max="1" width="22.140625" customWidth="1"/>
    <col min="2" max="2" width="19.42578125" customWidth="1"/>
    <col min="3" max="3" width="18.28515625" customWidth="1"/>
    <col min="4" max="4" width="14.140625" customWidth="1"/>
    <col min="5" max="5" width="21.28515625" customWidth="1"/>
    <col min="6" max="6" width="11.28515625" customWidth="1"/>
    <col min="9" max="9" width="12.5703125" customWidth="1"/>
  </cols>
  <sheetData>
    <row r="1" spans="1:10" ht="15.75" thickBot="1">
      <c r="A1" s="1" t="s">
        <v>60</v>
      </c>
      <c r="B1" s="2" t="s">
        <v>1</v>
      </c>
      <c r="C1" s="2" t="s">
        <v>61</v>
      </c>
      <c r="D1" s="2" t="s">
        <v>62</v>
      </c>
      <c r="E1" s="5" t="s">
        <v>63</v>
      </c>
      <c r="F1" s="7" t="s">
        <v>62</v>
      </c>
    </row>
    <row r="2" spans="1:10" ht="15.75" thickBot="1">
      <c r="A2" s="3">
        <v>3001</v>
      </c>
      <c r="B2" s="4" t="s">
        <v>64</v>
      </c>
      <c r="C2" s="4" t="s">
        <v>65</v>
      </c>
      <c r="D2" s="4">
        <v>86766</v>
      </c>
      <c r="E2" s="9">
        <v>42005</v>
      </c>
      <c r="F2" s="8">
        <f>VLOOKUP(A2,$A$1:$E$21,4,FALSE)</f>
        <v>86766</v>
      </c>
      <c r="I2" s="15" t="s">
        <v>115</v>
      </c>
      <c r="J2">
        <f>INDEX(D2:D21,MATCH(B5,B2:B21,0))</f>
        <v>109972</v>
      </c>
    </row>
    <row r="3" spans="1:10" ht="15.75" thickBot="1">
      <c r="A3" s="3">
        <v>3002</v>
      </c>
      <c r="B3" s="4" t="s">
        <v>66</v>
      </c>
      <c r="C3" s="4" t="s">
        <v>65</v>
      </c>
      <c r="D3" s="4">
        <v>31943</v>
      </c>
      <c r="E3" s="9">
        <v>42255</v>
      </c>
      <c r="F3" s="8">
        <f t="shared" ref="F3:F21" si="0">VLOOKUP(A3,$A$1:$E$21,4,FALSE)</f>
        <v>31943</v>
      </c>
    </row>
    <row r="4" spans="1:10" ht="15.75" thickBot="1">
      <c r="A4" s="3">
        <v>3003</v>
      </c>
      <c r="B4" s="4" t="s">
        <v>67</v>
      </c>
      <c r="C4" s="4" t="s">
        <v>68</v>
      </c>
      <c r="D4" s="4">
        <v>63374</v>
      </c>
      <c r="E4" s="9">
        <v>42505</v>
      </c>
      <c r="F4" s="8">
        <f t="shared" si="0"/>
        <v>63374</v>
      </c>
    </row>
    <row r="5" spans="1:10" ht="15.75" thickBot="1">
      <c r="A5" s="3">
        <v>3004</v>
      </c>
      <c r="B5" s="4" t="s">
        <v>69</v>
      </c>
      <c r="C5" s="4" t="s">
        <v>65</v>
      </c>
      <c r="D5" s="4">
        <v>109972</v>
      </c>
      <c r="E5" s="9">
        <v>42755</v>
      </c>
      <c r="F5" s="8">
        <f t="shared" si="0"/>
        <v>109972</v>
      </c>
    </row>
    <row r="6" spans="1:10" ht="15.75" thickBot="1">
      <c r="A6" s="3">
        <v>3005</v>
      </c>
      <c r="B6" s="4" t="s">
        <v>70</v>
      </c>
      <c r="C6" s="4" t="s">
        <v>71</v>
      </c>
      <c r="D6" s="4">
        <v>54149</v>
      </c>
      <c r="E6" s="9">
        <v>43005</v>
      </c>
      <c r="F6" s="8">
        <f t="shared" si="0"/>
        <v>54149</v>
      </c>
      <c r="I6" s="15" t="s">
        <v>110</v>
      </c>
      <c r="J6" t="str">
        <f>INDEX($B$1:$B$21,MATCH(A6,A1:A21,0))</f>
        <v>Employee 5</v>
      </c>
    </row>
    <row r="7" spans="1:10" ht="15.75" thickBot="1">
      <c r="A7" s="3">
        <v>3006</v>
      </c>
      <c r="B7" s="10" t="s">
        <v>72</v>
      </c>
      <c r="C7" s="4" t="s">
        <v>71</v>
      </c>
      <c r="D7" s="4">
        <v>78689</v>
      </c>
      <c r="E7" s="9">
        <v>43255</v>
      </c>
      <c r="F7" s="8">
        <f t="shared" si="0"/>
        <v>78689</v>
      </c>
    </row>
    <row r="8" spans="1:10" ht="15.75" thickBot="1">
      <c r="A8" s="3">
        <v>3007</v>
      </c>
      <c r="B8" s="10" t="s">
        <v>73</v>
      </c>
      <c r="C8" s="4" t="s">
        <v>74</v>
      </c>
      <c r="D8" s="4">
        <v>35960</v>
      </c>
      <c r="E8" s="9">
        <v>43505</v>
      </c>
      <c r="F8" s="8">
        <f t="shared" si="0"/>
        <v>35960</v>
      </c>
    </row>
    <row r="9" spans="1:10" ht="15.75" thickBot="1">
      <c r="A9" s="3">
        <v>3008</v>
      </c>
      <c r="B9" s="4" t="s">
        <v>75</v>
      </c>
      <c r="C9" s="4" t="s">
        <v>71</v>
      </c>
      <c r="D9" s="4">
        <v>91659</v>
      </c>
      <c r="E9" s="9">
        <v>43755</v>
      </c>
      <c r="F9" s="8">
        <f t="shared" si="0"/>
        <v>91659</v>
      </c>
    </row>
    <row r="10" spans="1:10" ht="15.75" thickBot="1">
      <c r="A10" s="3">
        <v>3009</v>
      </c>
      <c r="B10" s="4" t="s">
        <v>76</v>
      </c>
      <c r="C10" s="4" t="s">
        <v>71</v>
      </c>
      <c r="D10" s="4">
        <v>90423</v>
      </c>
      <c r="E10" s="9">
        <v>44005</v>
      </c>
      <c r="F10" s="8">
        <f t="shared" si="0"/>
        <v>90423</v>
      </c>
    </row>
    <row r="11" spans="1:10" ht="15.75" thickBot="1">
      <c r="A11" s="3">
        <v>3010</v>
      </c>
      <c r="B11" s="4" t="s">
        <v>77</v>
      </c>
      <c r="C11" s="4" t="s">
        <v>68</v>
      </c>
      <c r="D11" s="4">
        <v>107877</v>
      </c>
      <c r="E11" s="9">
        <v>44255</v>
      </c>
      <c r="F11" s="8">
        <f t="shared" si="0"/>
        <v>107877</v>
      </c>
    </row>
    <row r="12" spans="1:10" ht="15.75" thickBot="1">
      <c r="A12" s="3">
        <v>3011</v>
      </c>
      <c r="B12" s="4" t="s">
        <v>78</v>
      </c>
      <c r="C12" s="4" t="s">
        <v>65</v>
      </c>
      <c r="D12" s="4">
        <v>107634</v>
      </c>
      <c r="E12" s="9">
        <v>44505</v>
      </c>
      <c r="F12" s="8">
        <f t="shared" si="0"/>
        <v>107634</v>
      </c>
    </row>
    <row r="13" spans="1:10" ht="15.75" thickBot="1">
      <c r="A13" s="3">
        <v>3012</v>
      </c>
      <c r="B13" s="4" t="s">
        <v>79</v>
      </c>
      <c r="C13" s="4" t="s">
        <v>65</v>
      </c>
      <c r="D13" s="4">
        <v>35226</v>
      </c>
      <c r="E13" s="9">
        <v>44755</v>
      </c>
      <c r="F13" s="8">
        <f>VLOOKUP(A13,$A$1:$E$21,4,FALSE)</f>
        <v>35226</v>
      </c>
    </row>
    <row r="14" spans="1:10" ht="15.75" thickBot="1">
      <c r="A14" s="3">
        <v>3013</v>
      </c>
      <c r="B14" s="4" t="s">
        <v>80</v>
      </c>
      <c r="C14" s="4" t="s">
        <v>68</v>
      </c>
      <c r="D14" s="4">
        <v>40872</v>
      </c>
      <c r="E14" s="9">
        <v>45005</v>
      </c>
      <c r="F14" s="8">
        <f t="shared" si="0"/>
        <v>40872</v>
      </c>
    </row>
    <row r="15" spans="1:10" ht="15.75" thickBot="1">
      <c r="A15" s="3">
        <v>3014</v>
      </c>
      <c r="B15" s="4" t="s">
        <v>81</v>
      </c>
      <c r="C15" s="4" t="s">
        <v>68</v>
      </c>
      <c r="D15" s="4">
        <v>55378</v>
      </c>
      <c r="E15" s="9">
        <v>45255</v>
      </c>
      <c r="F15" s="8">
        <f t="shared" si="0"/>
        <v>55378</v>
      </c>
    </row>
    <row r="16" spans="1:10" ht="15.75" thickBot="1">
      <c r="A16" s="3">
        <v>3015</v>
      </c>
      <c r="B16" s="4" t="s">
        <v>82</v>
      </c>
      <c r="C16" s="4" t="s">
        <v>68</v>
      </c>
      <c r="D16" s="4">
        <v>63297</v>
      </c>
      <c r="E16" s="9">
        <v>45505</v>
      </c>
      <c r="F16" s="8">
        <f t="shared" si="0"/>
        <v>63297</v>
      </c>
    </row>
    <row r="17" spans="1:6" ht="15.75" thickBot="1">
      <c r="A17" s="3">
        <v>3016</v>
      </c>
      <c r="B17" s="4" t="s">
        <v>83</v>
      </c>
      <c r="C17" s="4" t="s">
        <v>65</v>
      </c>
      <c r="D17" s="4">
        <v>114173</v>
      </c>
      <c r="E17" s="9">
        <v>45755</v>
      </c>
      <c r="F17" s="8">
        <f t="shared" si="0"/>
        <v>114173</v>
      </c>
    </row>
    <row r="18" spans="1:6" ht="15.75" thickBot="1">
      <c r="A18" s="3">
        <v>3017</v>
      </c>
      <c r="B18" s="4" t="s">
        <v>84</v>
      </c>
      <c r="C18" s="4" t="s">
        <v>68</v>
      </c>
      <c r="D18" s="4">
        <v>86915</v>
      </c>
      <c r="E18" s="9">
        <v>46005</v>
      </c>
      <c r="F18" s="8">
        <f t="shared" si="0"/>
        <v>86915</v>
      </c>
    </row>
    <row r="19" spans="1:6" ht="15.75" thickBot="1">
      <c r="A19" s="3">
        <v>3018</v>
      </c>
      <c r="B19" s="4" t="s">
        <v>85</v>
      </c>
      <c r="C19" s="4" t="s">
        <v>71</v>
      </c>
      <c r="D19" s="4">
        <v>116284</v>
      </c>
      <c r="E19" s="9">
        <v>46255</v>
      </c>
      <c r="F19" s="8">
        <f t="shared" si="0"/>
        <v>116284</v>
      </c>
    </row>
    <row r="20" spans="1:6" ht="15.75" thickBot="1">
      <c r="A20" s="3">
        <v>3019</v>
      </c>
      <c r="B20" s="4" t="s">
        <v>86</v>
      </c>
      <c r="C20" s="4" t="s">
        <v>74</v>
      </c>
      <c r="D20" s="4">
        <v>116283</v>
      </c>
      <c r="E20" s="9">
        <v>46505</v>
      </c>
      <c r="F20" s="8">
        <f t="shared" si="0"/>
        <v>116283</v>
      </c>
    </row>
    <row r="21" spans="1:6" ht="15.75" thickBot="1">
      <c r="A21" s="3">
        <v>3020</v>
      </c>
      <c r="B21" s="4" t="s">
        <v>87</v>
      </c>
      <c r="C21" s="4" t="s">
        <v>74</v>
      </c>
      <c r="D21" s="4">
        <v>99924</v>
      </c>
      <c r="E21" s="9">
        <v>46755</v>
      </c>
      <c r="F21" s="8">
        <f t="shared" si="0"/>
        <v>99924</v>
      </c>
    </row>
  </sheetData>
  <autoFilter ref="A1:F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zoomScale="80" zoomScaleNormal="80" workbookViewId="0">
      <selection activeCell="M1" sqref="M1"/>
    </sheetView>
  </sheetViews>
  <sheetFormatPr defaultRowHeight="15"/>
  <cols>
    <col min="2" max="2" width="16.5703125" customWidth="1"/>
    <col min="3" max="3" width="18.42578125" customWidth="1"/>
    <col min="4" max="4" width="16.85546875" customWidth="1"/>
    <col min="5" max="5" width="14.5703125" customWidth="1"/>
    <col min="6" max="6" width="17.5703125" customWidth="1"/>
    <col min="7" max="7" width="12" customWidth="1"/>
    <col min="8" max="8" width="12.85546875" customWidth="1"/>
    <col min="11" max="11" width="18.140625" customWidth="1"/>
    <col min="12" max="12" width="17" customWidth="1"/>
    <col min="13" max="13" width="14.42578125" customWidth="1"/>
    <col min="14" max="14" width="14.28515625" customWidth="1"/>
    <col min="15" max="15" width="15.7109375" customWidth="1"/>
    <col min="23" max="23" width="14.42578125" customWidth="1"/>
  </cols>
  <sheetData>
    <row r="1" spans="1:24" ht="30.75" thickBot="1">
      <c r="A1" s="1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5" t="s">
        <v>30</v>
      </c>
      <c r="G1" s="7" t="s">
        <v>92</v>
      </c>
      <c r="H1" s="7" t="s">
        <v>96</v>
      </c>
      <c r="I1" s="7" t="s">
        <v>98</v>
      </c>
      <c r="J1" s="7" t="s">
        <v>108</v>
      </c>
      <c r="K1" s="16" t="s">
        <v>118</v>
      </c>
      <c r="L1" s="7" t="s">
        <v>119</v>
      </c>
      <c r="M1" s="7" t="s">
        <v>143</v>
      </c>
      <c r="N1" s="13" t="s">
        <v>145</v>
      </c>
      <c r="O1" s="13" t="s">
        <v>146</v>
      </c>
      <c r="P1" s="13" t="s">
        <v>147</v>
      </c>
    </row>
    <row r="2" spans="1:24" ht="30.75" customHeight="1" thickBot="1">
      <c r="A2" s="3">
        <v>2001</v>
      </c>
      <c r="B2" s="4" t="s">
        <v>31</v>
      </c>
      <c r="C2" s="4" t="s">
        <v>32</v>
      </c>
      <c r="D2" s="4" t="s">
        <v>33</v>
      </c>
      <c r="E2" s="4">
        <v>7048</v>
      </c>
      <c r="F2" s="6">
        <v>38645</v>
      </c>
      <c r="G2" s="8">
        <f>VLOOKUP(A2,A1:F21,5,FALSE)</f>
        <v>7048</v>
      </c>
      <c r="H2" s="8">
        <f>IF(G2&gt;=50000,G2*10%,IF(G2&gt;=15000,G2*10%,IF(G2&gt;=10000,G2*5%,0)))</f>
        <v>0</v>
      </c>
      <c r="I2" s="8" t="str">
        <f>IF(OR(G2&gt;=20000,C2="South"),"Yes","No")</f>
        <v>Yes</v>
      </c>
      <c r="J2" s="8" t="str">
        <f>TEXT(F2,"mmmm")</f>
        <v>October</v>
      </c>
      <c r="K2" s="8">
        <f>SUMIFS(E2:E21,J2:J21,J2)</f>
        <v>41001</v>
      </c>
      <c r="L2" s="8" t="s">
        <v>120</v>
      </c>
      <c r="M2" s="20">
        <f ca="1">DATEDIF(F2,TODAY(),"Y")</f>
        <v>21</v>
      </c>
      <c r="N2" s="8">
        <f>ROUND(E2,2)</f>
        <v>7048</v>
      </c>
      <c r="O2" s="8">
        <f>CEILING(E2,10)</f>
        <v>7050</v>
      </c>
      <c r="P2" s="8">
        <f>FLOOR(E2,10)</f>
        <v>7040</v>
      </c>
      <c r="V2" s="15" t="s">
        <v>117</v>
      </c>
      <c r="W2" s="15" t="s">
        <v>140</v>
      </c>
      <c r="X2">
        <f ca="1">INDIRECT("K2")</f>
        <v>41001</v>
      </c>
    </row>
    <row r="3" spans="1:24" ht="28.5" customHeight="1" thickBot="1">
      <c r="A3" s="3">
        <v>2002</v>
      </c>
      <c r="B3" s="4" t="s">
        <v>34</v>
      </c>
      <c r="C3" s="4" t="s">
        <v>35</v>
      </c>
      <c r="D3" s="4" t="s">
        <v>36</v>
      </c>
      <c r="E3" s="4">
        <v>17428</v>
      </c>
      <c r="F3" s="6">
        <v>40802</v>
      </c>
      <c r="G3" s="8">
        <f t="shared" ref="G3:G21" si="0">VLOOKUP(A3,A2:F22,5,FALSE)</f>
        <v>17428</v>
      </c>
      <c r="H3" s="8">
        <f>IF(G3&gt;=50000,G3*10%,IF(G3&gt;=15000,G3*10%,IF(G3&gt;=10000,G3*5%,0)))</f>
        <v>1742.8000000000002</v>
      </c>
      <c r="I3" s="8" t="str">
        <f t="shared" ref="I3:I21" si="1">IF(OR(G3&gt;=20000,C3="South"),"Yes","No")</f>
        <v>No</v>
      </c>
      <c r="J3" s="8" t="str">
        <f t="shared" ref="J3:J21" si="2">TEXT(F3,"mmmm")</f>
        <v>September</v>
      </c>
      <c r="K3" s="8">
        <f t="shared" ref="K3:K20" si="3">SUMIFS(E3:E22,J3:J22,J3)</f>
        <v>86025</v>
      </c>
      <c r="L3" s="8" t="s">
        <v>121</v>
      </c>
      <c r="M3" s="20">
        <f ca="1">DATEDIF(F3,TODAY(),"Y")</f>
        <v>15</v>
      </c>
      <c r="N3" s="8">
        <f t="shared" ref="N3:N21" si="4">ROUND(E3,2)</f>
        <v>17428</v>
      </c>
      <c r="O3" s="8">
        <f t="shared" ref="O3:O21" si="5">CEILING(E3,10)</f>
        <v>17430</v>
      </c>
      <c r="P3" s="8">
        <f t="shared" ref="P3:P21" si="6">FLOOR(E3,10)</f>
        <v>17420</v>
      </c>
      <c r="V3" s="15" t="s">
        <v>141</v>
      </c>
      <c r="W3" s="17">
        <f ca="1">OFFSET(K1,3,0)</f>
        <v>23672</v>
      </c>
    </row>
    <row r="4" spans="1:24" ht="30" customHeight="1" thickBot="1">
      <c r="A4" s="3">
        <v>2003</v>
      </c>
      <c r="B4" s="4" t="s">
        <v>37</v>
      </c>
      <c r="C4" s="4" t="s">
        <v>32</v>
      </c>
      <c r="D4" s="4" t="s">
        <v>38</v>
      </c>
      <c r="E4" s="4">
        <v>23672</v>
      </c>
      <c r="F4" s="6">
        <v>44957</v>
      </c>
      <c r="G4" s="8">
        <f t="shared" si="0"/>
        <v>23672</v>
      </c>
      <c r="H4" s="8">
        <f t="shared" ref="H4:H21" si="7">IF(G4&gt;=50000,G4*10%,IF(G4&gt;=15000,G4*10%,IF(G4&gt;=10000,G4*5%,0)))</f>
        <v>2367.2000000000003</v>
      </c>
      <c r="I4" s="8" t="str">
        <f t="shared" si="1"/>
        <v>Yes</v>
      </c>
      <c r="J4" s="8" t="str">
        <f t="shared" si="2"/>
        <v>January</v>
      </c>
      <c r="K4" s="8">
        <f t="shared" si="3"/>
        <v>23672</v>
      </c>
      <c r="L4" s="8" t="s">
        <v>122</v>
      </c>
      <c r="N4" s="8">
        <f t="shared" si="4"/>
        <v>23672</v>
      </c>
      <c r="O4" s="8">
        <f t="shared" si="5"/>
        <v>23680</v>
      </c>
      <c r="P4" s="8">
        <f t="shared" si="6"/>
        <v>23670</v>
      </c>
      <c r="V4" s="18" t="s">
        <v>142</v>
      </c>
      <c r="X4">
        <f ca="1">SUM(OFFSET(K1,1,0,3,1))</f>
        <v>150698</v>
      </c>
    </row>
    <row r="5" spans="1:24" ht="30" customHeight="1" thickBot="1">
      <c r="A5" s="3">
        <v>2004</v>
      </c>
      <c r="B5" s="10" t="s">
        <v>34</v>
      </c>
      <c r="C5" s="4" t="s">
        <v>39</v>
      </c>
      <c r="D5" s="4" t="s">
        <v>40</v>
      </c>
      <c r="E5" s="4">
        <v>5264</v>
      </c>
      <c r="F5" s="6">
        <v>44972</v>
      </c>
      <c r="G5" s="8">
        <f t="shared" si="0"/>
        <v>5264</v>
      </c>
      <c r="H5" s="8">
        <f t="shared" si="7"/>
        <v>0</v>
      </c>
      <c r="I5" s="8" t="str">
        <f t="shared" si="1"/>
        <v>No</v>
      </c>
      <c r="J5" s="8" t="str">
        <f t="shared" si="2"/>
        <v>February</v>
      </c>
      <c r="K5" s="8">
        <f t="shared" si="3"/>
        <v>5264</v>
      </c>
      <c r="L5" s="8" t="s">
        <v>123</v>
      </c>
      <c r="N5" s="8">
        <f t="shared" si="4"/>
        <v>5264</v>
      </c>
      <c r="O5" s="8">
        <f t="shared" si="5"/>
        <v>5270</v>
      </c>
      <c r="P5" s="8">
        <f t="shared" si="6"/>
        <v>5260</v>
      </c>
    </row>
    <row r="6" spans="1:24" ht="30" customHeight="1" thickBot="1">
      <c r="A6" s="3">
        <v>2005</v>
      </c>
      <c r="B6" s="10" t="s">
        <v>31</v>
      </c>
      <c r="C6" s="4" t="s">
        <v>41</v>
      </c>
      <c r="D6" s="4" t="s">
        <v>42</v>
      </c>
      <c r="E6" s="4">
        <v>43388</v>
      </c>
      <c r="F6" s="6">
        <v>44987</v>
      </c>
      <c r="G6" s="8">
        <f t="shared" si="0"/>
        <v>43388</v>
      </c>
      <c r="H6" s="8">
        <f t="shared" si="7"/>
        <v>4338.8</v>
      </c>
      <c r="I6" s="8" t="str">
        <f t="shared" si="1"/>
        <v>Yes</v>
      </c>
      <c r="J6" s="8" t="str">
        <f>TEXT(F6,"mmmm")</f>
        <v>March</v>
      </c>
      <c r="K6" s="8">
        <f t="shared" si="3"/>
        <v>63145</v>
      </c>
      <c r="L6" s="8" t="s">
        <v>124</v>
      </c>
      <c r="N6" s="8">
        <f t="shared" si="4"/>
        <v>43388</v>
      </c>
      <c r="O6" s="8">
        <f t="shared" si="5"/>
        <v>43390</v>
      </c>
      <c r="P6" s="8">
        <f t="shared" si="6"/>
        <v>43380</v>
      </c>
      <c r="V6" s="15" t="s">
        <v>144</v>
      </c>
    </row>
    <row r="7" spans="1:24" ht="30.75" customHeight="1" thickBot="1">
      <c r="A7" s="3">
        <v>2006</v>
      </c>
      <c r="B7" s="4" t="s">
        <v>37</v>
      </c>
      <c r="C7" s="4" t="s">
        <v>41</v>
      </c>
      <c r="D7" s="4" t="s">
        <v>43</v>
      </c>
      <c r="E7" s="4">
        <v>19757</v>
      </c>
      <c r="F7" s="6">
        <v>45002</v>
      </c>
      <c r="G7" s="8">
        <f t="shared" si="0"/>
        <v>19757</v>
      </c>
      <c r="H7" s="8">
        <f t="shared" si="7"/>
        <v>1975.7</v>
      </c>
      <c r="I7" s="8" t="str">
        <f t="shared" si="1"/>
        <v>No</v>
      </c>
      <c r="J7" s="8" t="str">
        <f t="shared" si="2"/>
        <v>March</v>
      </c>
      <c r="K7" s="8">
        <f>SUMIFS(E7:E26,J7:J26,J7)</f>
        <v>19757</v>
      </c>
      <c r="L7" s="8" t="s">
        <v>125</v>
      </c>
      <c r="N7" s="8">
        <f t="shared" si="4"/>
        <v>19757</v>
      </c>
      <c r="O7" s="8">
        <f t="shared" si="5"/>
        <v>19760</v>
      </c>
      <c r="P7" s="8">
        <f t="shared" si="6"/>
        <v>19750</v>
      </c>
      <c r="V7" s="19">
        <v>46315</v>
      </c>
      <c r="W7" s="19">
        <v>46327</v>
      </c>
    </row>
    <row r="8" spans="1:24" ht="29.25" customHeight="1" thickBot="1">
      <c r="A8" s="3">
        <v>2007</v>
      </c>
      <c r="B8" s="4" t="s">
        <v>37</v>
      </c>
      <c r="C8" s="4" t="s">
        <v>39</v>
      </c>
      <c r="D8" s="4" t="s">
        <v>44</v>
      </c>
      <c r="E8" s="4">
        <v>32058</v>
      </c>
      <c r="F8" s="6">
        <v>45017</v>
      </c>
      <c r="G8" s="8">
        <f t="shared" si="0"/>
        <v>32058</v>
      </c>
      <c r="H8" s="8">
        <f t="shared" si="7"/>
        <v>3205.8</v>
      </c>
      <c r="I8" s="8" t="str">
        <f>IF(OR(G8&gt;=20000,C8="South"),"Yes","No")</f>
        <v>Yes</v>
      </c>
      <c r="J8" s="8" t="str">
        <f t="shared" si="2"/>
        <v>April</v>
      </c>
      <c r="K8" s="8">
        <f t="shared" si="3"/>
        <v>78487</v>
      </c>
      <c r="L8" s="8" t="s">
        <v>126</v>
      </c>
      <c r="N8" s="8">
        <f t="shared" si="4"/>
        <v>32058</v>
      </c>
      <c r="O8" s="8">
        <f>CEILING(E8,10)</f>
        <v>32060</v>
      </c>
      <c r="P8" s="8">
        <f t="shared" si="6"/>
        <v>32050</v>
      </c>
      <c r="V8" s="15">
        <f>W7-V7</f>
        <v>12</v>
      </c>
    </row>
    <row r="9" spans="1:24" ht="37.5" customHeight="1" thickBot="1">
      <c r="A9" s="3">
        <v>2008</v>
      </c>
      <c r="B9" s="4" t="s">
        <v>31</v>
      </c>
      <c r="C9" s="4" t="s">
        <v>39</v>
      </c>
      <c r="D9" s="4" t="s">
        <v>45</v>
      </c>
      <c r="E9" s="4">
        <v>46429</v>
      </c>
      <c r="F9" s="6">
        <v>45032</v>
      </c>
      <c r="G9" s="8">
        <f t="shared" si="0"/>
        <v>46429</v>
      </c>
      <c r="H9" s="8">
        <f t="shared" si="7"/>
        <v>4642.9000000000005</v>
      </c>
      <c r="I9" s="8" t="str">
        <f t="shared" si="1"/>
        <v>Yes</v>
      </c>
      <c r="J9" s="8" t="str">
        <f>TEXT(F9,"mmmm")</f>
        <v>April</v>
      </c>
      <c r="K9" s="8">
        <f t="shared" si="3"/>
        <v>46429</v>
      </c>
      <c r="L9" s="8" t="s">
        <v>127</v>
      </c>
      <c r="N9" s="8">
        <f t="shared" si="4"/>
        <v>46429</v>
      </c>
      <c r="O9" s="8">
        <f t="shared" si="5"/>
        <v>46430</v>
      </c>
      <c r="P9" s="8">
        <f t="shared" si="6"/>
        <v>46420</v>
      </c>
    </row>
    <row r="10" spans="1:24" ht="27" customHeight="1" thickBot="1">
      <c r="A10" s="3">
        <v>2009</v>
      </c>
      <c r="B10" s="4" t="s">
        <v>34</v>
      </c>
      <c r="C10" s="4" t="s">
        <v>39</v>
      </c>
      <c r="D10" s="4" t="s">
        <v>46</v>
      </c>
      <c r="E10" s="4">
        <v>19746</v>
      </c>
      <c r="F10" s="6">
        <v>45047</v>
      </c>
      <c r="G10" s="8">
        <f t="shared" si="0"/>
        <v>19746</v>
      </c>
      <c r="H10" s="8">
        <f t="shared" si="7"/>
        <v>1974.6000000000001</v>
      </c>
      <c r="I10" s="8" t="str">
        <f t="shared" si="1"/>
        <v>No</v>
      </c>
      <c r="J10" s="8" t="str">
        <f t="shared" si="2"/>
        <v>May</v>
      </c>
      <c r="K10" s="8">
        <f>SUMIFS(E10:E29,J10:J29,J10)</f>
        <v>88851</v>
      </c>
      <c r="L10" s="8" t="s">
        <v>128</v>
      </c>
      <c r="N10" s="8">
        <f t="shared" si="4"/>
        <v>19746</v>
      </c>
      <c r="O10" s="8">
        <f>CEILING(E10,10)</f>
        <v>19750</v>
      </c>
      <c r="P10" s="8">
        <f t="shared" si="6"/>
        <v>19740</v>
      </c>
    </row>
    <row r="11" spans="1:24" ht="30.75" thickBot="1">
      <c r="A11" s="3">
        <v>2010</v>
      </c>
      <c r="B11" s="4" t="s">
        <v>31</v>
      </c>
      <c r="C11" s="4" t="s">
        <v>32</v>
      </c>
      <c r="D11" s="4" t="s">
        <v>47</v>
      </c>
      <c r="E11" s="4">
        <v>35185</v>
      </c>
      <c r="F11" s="6">
        <v>45062</v>
      </c>
      <c r="G11" s="8">
        <f t="shared" si="0"/>
        <v>35185</v>
      </c>
      <c r="H11" s="8">
        <f t="shared" si="7"/>
        <v>3518.5</v>
      </c>
      <c r="I11" s="8" t="str">
        <f t="shared" si="1"/>
        <v>Yes</v>
      </c>
      <c r="J11" s="8" t="str">
        <f t="shared" si="2"/>
        <v>May</v>
      </c>
      <c r="K11" s="8">
        <f t="shared" si="3"/>
        <v>69105</v>
      </c>
      <c r="L11" s="8" t="s">
        <v>129</v>
      </c>
      <c r="N11" s="8">
        <f>ROUND(E11,2)</f>
        <v>35185</v>
      </c>
      <c r="O11" s="8">
        <f t="shared" si="5"/>
        <v>35190</v>
      </c>
      <c r="P11" s="8">
        <f t="shared" si="6"/>
        <v>35180</v>
      </c>
    </row>
    <row r="12" spans="1:24" ht="30.75" thickBot="1">
      <c r="A12" s="3">
        <v>2011</v>
      </c>
      <c r="B12" s="4" t="s">
        <v>31</v>
      </c>
      <c r="C12" s="4" t="s">
        <v>39</v>
      </c>
      <c r="D12" s="4" t="s">
        <v>48</v>
      </c>
      <c r="E12" s="4">
        <v>33920</v>
      </c>
      <c r="F12" s="6">
        <v>45077</v>
      </c>
      <c r="G12" s="8">
        <f t="shared" si="0"/>
        <v>33920</v>
      </c>
      <c r="H12" s="8">
        <f t="shared" si="7"/>
        <v>3392</v>
      </c>
      <c r="I12" s="8" t="str">
        <f t="shared" si="1"/>
        <v>Yes</v>
      </c>
      <c r="J12" s="8" t="str">
        <f>TEXT(F12,"mmmm")</f>
        <v>May</v>
      </c>
      <c r="K12" s="8">
        <f t="shared" si="3"/>
        <v>33920</v>
      </c>
      <c r="L12" s="8" t="s">
        <v>130</v>
      </c>
      <c r="N12" s="8">
        <f t="shared" si="4"/>
        <v>33920</v>
      </c>
      <c r="O12" s="8">
        <f t="shared" si="5"/>
        <v>33920</v>
      </c>
      <c r="P12" s="8">
        <f t="shared" si="6"/>
        <v>33920</v>
      </c>
    </row>
    <row r="13" spans="1:24" ht="30.75" thickBot="1">
      <c r="A13" s="3">
        <v>2012</v>
      </c>
      <c r="B13" s="4" t="s">
        <v>49</v>
      </c>
      <c r="C13" s="4" t="s">
        <v>41</v>
      </c>
      <c r="D13" s="4" t="s">
        <v>50</v>
      </c>
      <c r="E13" s="4">
        <v>35611</v>
      </c>
      <c r="F13" s="6">
        <v>45092</v>
      </c>
      <c r="G13" s="8">
        <f t="shared" si="0"/>
        <v>35611</v>
      </c>
      <c r="H13" s="8">
        <f t="shared" si="7"/>
        <v>3561.1000000000004</v>
      </c>
      <c r="I13" s="8" t="str">
        <f>IF(OR(G13&gt;=20000,C13="South"),"Yes","No")</f>
        <v>Yes</v>
      </c>
      <c r="J13" s="8" t="str">
        <f t="shared" si="2"/>
        <v>June</v>
      </c>
      <c r="K13" s="8">
        <f>SUMIFS(E13:E32,J13:J32,J13)</f>
        <v>51171</v>
      </c>
      <c r="L13" s="8" t="s">
        <v>131</v>
      </c>
      <c r="N13" s="8">
        <f t="shared" si="4"/>
        <v>35611</v>
      </c>
      <c r="O13" s="8">
        <f t="shared" si="5"/>
        <v>35620</v>
      </c>
      <c r="P13" s="8">
        <f t="shared" si="6"/>
        <v>35610</v>
      </c>
    </row>
    <row r="14" spans="1:24" ht="30.75" thickBot="1">
      <c r="A14" s="3">
        <v>2013</v>
      </c>
      <c r="B14" s="4" t="s">
        <v>51</v>
      </c>
      <c r="C14" s="4" t="s">
        <v>39</v>
      </c>
      <c r="D14" s="4" t="s">
        <v>52</v>
      </c>
      <c r="E14" s="4">
        <v>15560</v>
      </c>
      <c r="F14" s="6">
        <v>45107</v>
      </c>
      <c r="G14" s="8">
        <f t="shared" si="0"/>
        <v>15560</v>
      </c>
      <c r="H14" s="8">
        <f t="shared" si="7"/>
        <v>1556</v>
      </c>
      <c r="I14" s="8" t="str">
        <f t="shared" si="1"/>
        <v>No</v>
      </c>
      <c r="J14" s="8" t="str">
        <f t="shared" si="2"/>
        <v>June</v>
      </c>
      <c r="K14" s="8">
        <f t="shared" si="3"/>
        <v>15560</v>
      </c>
      <c r="L14" s="8" t="s">
        <v>132</v>
      </c>
      <c r="N14" s="8">
        <f>ROUND(E14,2)</f>
        <v>15560</v>
      </c>
      <c r="O14" s="8">
        <f>CEILING(E14,10)</f>
        <v>15560</v>
      </c>
      <c r="P14" s="8">
        <f t="shared" si="6"/>
        <v>15560</v>
      </c>
    </row>
    <row r="15" spans="1:24" ht="30.75" thickBot="1">
      <c r="A15" s="3">
        <v>2014</v>
      </c>
      <c r="B15" s="4" t="s">
        <v>51</v>
      </c>
      <c r="C15" s="4" t="s">
        <v>32</v>
      </c>
      <c r="D15" s="4" t="s">
        <v>53</v>
      </c>
      <c r="E15" s="4">
        <v>7283</v>
      </c>
      <c r="F15" s="6">
        <v>45122</v>
      </c>
      <c r="G15" s="8">
        <f t="shared" si="0"/>
        <v>7283</v>
      </c>
      <c r="H15" s="8">
        <f t="shared" si="7"/>
        <v>0</v>
      </c>
      <c r="I15" s="8" t="str">
        <f t="shared" si="1"/>
        <v>Yes</v>
      </c>
      <c r="J15" s="8" t="str">
        <f t="shared" si="2"/>
        <v>July</v>
      </c>
      <c r="K15" s="8">
        <f t="shared" si="3"/>
        <v>22961</v>
      </c>
      <c r="L15" s="8" t="s">
        <v>133</v>
      </c>
      <c r="N15" s="8">
        <f t="shared" si="4"/>
        <v>7283</v>
      </c>
      <c r="O15" s="8">
        <f t="shared" si="5"/>
        <v>7290</v>
      </c>
      <c r="P15" s="8">
        <f t="shared" si="6"/>
        <v>7280</v>
      </c>
    </row>
    <row r="16" spans="1:24" ht="30.75" thickBot="1">
      <c r="A16" s="3">
        <v>2015</v>
      </c>
      <c r="B16" s="4" t="s">
        <v>51</v>
      </c>
      <c r="C16" s="4" t="s">
        <v>39</v>
      </c>
      <c r="D16" s="4" t="s">
        <v>54</v>
      </c>
      <c r="E16" s="4">
        <v>15678</v>
      </c>
      <c r="F16" s="6">
        <v>45137</v>
      </c>
      <c r="G16" s="8">
        <f t="shared" si="0"/>
        <v>15678</v>
      </c>
      <c r="H16" s="8">
        <f t="shared" si="7"/>
        <v>1567.8000000000002</v>
      </c>
      <c r="I16" s="8" t="str">
        <f t="shared" si="1"/>
        <v>No</v>
      </c>
      <c r="J16" s="8" t="str">
        <f>TEXT(F16,"mmmm")</f>
        <v>July</v>
      </c>
      <c r="K16" s="8">
        <f t="shared" si="3"/>
        <v>15678</v>
      </c>
      <c r="L16" s="8" t="s">
        <v>134</v>
      </c>
      <c r="N16" s="8">
        <f t="shared" si="4"/>
        <v>15678</v>
      </c>
      <c r="O16" s="8">
        <f t="shared" si="5"/>
        <v>15680</v>
      </c>
      <c r="P16" s="8">
        <f t="shared" si="6"/>
        <v>15670</v>
      </c>
    </row>
    <row r="17" spans="1:16" ht="30.75" thickBot="1">
      <c r="A17" s="3">
        <v>2016</v>
      </c>
      <c r="B17" s="4" t="s">
        <v>37</v>
      </c>
      <c r="C17" s="4" t="s">
        <v>39</v>
      </c>
      <c r="D17" s="4" t="s">
        <v>55</v>
      </c>
      <c r="E17" s="4">
        <v>5277</v>
      </c>
      <c r="F17" s="6">
        <v>45152</v>
      </c>
      <c r="G17" s="8">
        <f t="shared" si="0"/>
        <v>5277</v>
      </c>
      <c r="H17" s="8">
        <f t="shared" si="7"/>
        <v>0</v>
      </c>
      <c r="I17" s="8" t="str">
        <f t="shared" si="1"/>
        <v>No</v>
      </c>
      <c r="J17" s="8" t="str">
        <f t="shared" si="2"/>
        <v>August</v>
      </c>
      <c r="K17" s="8">
        <f t="shared" si="3"/>
        <v>47148</v>
      </c>
      <c r="L17" s="8" t="s">
        <v>135</v>
      </c>
      <c r="N17" s="8">
        <f t="shared" si="4"/>
        <v>5277</v>
      </c>
      <c r="O17" s="8">
        <f t="shared" si="5"/>
        <v>5280</v>
      </c>
      <c r="P17" s="8">
        <f t="shared" si="6"/>
        <v>5270</v>
      </c>
    </row>
    <row r="18" spans="1:16" ht="30.75" thickBot="1">
      <c r="A18" s="3">
        <v>2017</v>
      </c>
      <c r="B18" s="4" t="s">
        <v>49</v>
      </c>
      <c r="C18" s="4" t="s">
        <v>41</v>
      </c>
      <c r="D18" s="4" t="s">
        <v>56</v>
      </c>
      <c r="E18" s="4">
        <v>41871</v>
      </c>
      <c r="F18" s="6">
        <v>45167</v>
      </c>
      <c r="G18" s="8">
        <f t="shared" si="0"/>
        <v>41871</v>
      </c>
      <c r="H18" s="8">
        <f t="shared" si="7"/>
        <v>4187.1000000000004</v>
      </c>
      <c r="I18" s="8" t="str">
        <f t="shared" si="1"/>
        <v>Yes</v>
      </c>
      <c r="J18" s="8" t="str">
        <f t="shared" si="2"/>
        <v>August</v>
      </c>
      <c r="K18" s="8">
        <f>SUMIFS(E18:E37,J18:J37,J18)</f>
        <v>41871</v>
      </c>
      <c r="L18" s="8" t="s">
        <v>136</v>
      </c>
      <c r="N18" s="8">
        <f t="shared" si="4"/>
        <v>41871</v>
      </c>
      <c r="O18" s="8">
        <f t="shared" si="5"/>
        <v>41880</v>
      </c>
      <c r="P18" s="8">
        <f t="shared" si="6"/>
        <v>41870</v>
      </c>
    </row>
    <row r="19" spans="1:16" ht="30.75" thickBot="1">
      <c r="A19" s="3">
        <v>2018</v>
      </c>
      <c r="B19" s="4" t="s">
        <v>49</v>
      </c>
      <c r="C19" s="4" t="s">
        <v>35</v>
      </c>
      <c r="D19" s="4" t="s">
        <v>57</v>
      </c>
      <c r="E19" s="4">
        <v>38161</v>
      </c>
      <c r="F19" s="6">
        <v>45182</v>
      </c>
      <c r="G19" s="8">
        <f t="shared" si="0"/>
        <v>38161</v>
      </c>
      <c r="H19" s="8">
        <f t="shared" si="7"/>
        <v>3816.1000000000004</v>
      </c>
      <c r="I19" s="8" t="str">
        <f>IF(OR(G19&gt;=20000,C19="South"),"Yes","No")</f>
        <v>Yes</v>
      </c>
      <c r="J19" s="8" t="str">
        <f>TEXT(F19,"mmmm")</f>
        <v>September</v>
      </c>
      <c r="K19" s="8">
        <f t="shared" si="3"/>
        <v>68597</v>
      </c>
      <c r="L19" s="8" t="s">
        <v>137</v>
      </c>
      <c r="N19" s="8">
        <f t="shared" si="4"/>
        <v>38161</v>
      </c>
      <c r="O19" s="8">
        <f t="shared" si="5"/>
        <v>38170</v>
      </c>
      <c r="P19" s="8">
        <f t="shared" si="6"/>
        <v>38160</v>
      </c>
    </row>
    <row r="20" spans="1:16" ht="30.75" thickBot="1">
      <c r="A20" s="3">
        <v>2019</v>
      </c>
      <c r="B20" s="4" t="s">
        <v>37</v>
      </c>
      <c r="C20" s="4" t="s">
        <v>35</v>
      </c>
      <c r="D20" s="4" t="s">
        <v>58</v>
      </c>
      <c r="E20" s="4">
        <v>30436</v>
      </c>
      <c r="F20" s="6">
        <v>45197</v>
      </c>
      <c r="G20" s="8">
        <f t="shared" si="0"/>
        <v>30436</v>
      </c>
      <c r="H20" s="8">
        <f t="shared" si="7"/>
        <v>3043.6000000000004</v>
      </c>
      <c r="I20" s="8" t="str">
        <f t="shared" si="1"/>
        <v>Yes</v>
      </c>
      <c r="J20" s="8" t="str">
        <f t="shared" si="2"/>
        <v>September</v>
      </c>
      <c r="K20" s="8">
        <f t="shared" si="3"/>
        <v>30436</v>
      </c>
      <c r="L20" s="8" t="s">
        <v>138</v>
      </c>
      <c r="N20" s="8">
        <f t="shared" si="4"/>
        <v>30436</v>
      </c>
      <c r="O20" s="8">
        <f>CEILING(E20,10)</f>
        <v>30440</v>
      </c>
      <c r="P20" s="8">
        <f t="shared" si="6"/>
        <v>30430</v>
      </c>
    </row>
    <row r="21" spans="1:16" ht="30.75" thickBot="1">
      <c r="A21" s="3">
        <v>2020</v>
      </c>
      <c r="B21" s="4" t="s">
        <v>34</v>
      </c>
      <c r="C21" s="4" t="s">
        <v>35</v>
      </c>
      <c r="D21" s="4" t="s">
        <v>59</v>
      </c>
      <c r="E21" s="4">
        <v>33953</v>
      </c>
      <c r="F21" s="6">
        <v>45212</v>
      </c>
      <c r="G21" s="8">
        <f t="shared" si="0"/>
        <v>33953</v>
      </c>
      <c r="H21" s="8">
        <f t="shared" si="7"/>
        <v>3395.3</v>
      </c>
      <c r="I21" s="8" t="str">
        <f t="shared" si="1"/>
        <v>Yes</v>
      </c>
      <c r="J21" s="8" t="str">
        <f t="shared" si="2"/>
        <v>October</v>
      </c>
      <c r="K21" s="8">
        <f>SUMIFS(E21:E40,J21:J40,J21)</f>
        <v>33953</v>
      </c>
      <c r="L21" s="8" t="s">
        <v>139</v>
      </c>
      <c r="N21" s="8">
        <f t="shared" si="4"/>
        <v>33953</v>
      </c>
      <c r="O21" s="8">
        <f t="shared" si="5"/>
        <v>33960</v>
      </c>
      <c r="P21" s="8">
        <f t="shared" si="6"/>
        <v>33950</v>
      </c>
    </row>
  </sheetData>
  <autoFilter ref="A1:K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1" sqref="D1"/>
    </sheetView>
  </sheetViews>
  <sheetFormatPr defaultRowHeight="15"/>
  <cols>
    <col min="1" max="1" width="15.7109375" customWidth="1"/>
    <col min="2" max="2" width="12.5703125" customWidth="1"/>
    <col min="3" max="3" width="11.7109375" customWidth="1"/>
    <col min="4" max="4" width="12.85546875" customWidth="1"/>
  </cols>
  <sheetData>
    <row r="1" spans="1:4" ht="21" customHeight="1">
      <c r="A1" s="21" t="s">
        <v>149</v>
      </c>
      <c r="B1" s="21" t="s">
        <v>26</v>
      </c>
      <c r="C1" s="22" t="s">
        <v>150</v>
      </c>
      <c r="D1" s="15" t="s">
        <v>156</v>
      </c>
    </row>
    <row r="2" spans="1:4">
      <c r="A2" s="23" t="s">
        <v>151</v>
      </c>
      <c r="B2" s="23" t="s">
        <v>31</v>
      </c>
      <c r="C2" s="24">
        <v>1500</v>
      </c>
      <c r="D2">
        <f>VLOOKUP(A2,A1:C6,3,FALSE)</f>
        <v>1500</v>
      </c>
    </row>
    <row r="3" spans="1:4">
      <c r="A3" s="23" t="s">
        <v>152</v>
      </c>
      <c r="B3" s="23" t="s">
        <v>34</v>
      </c>
      <c r="C3" s="24">
        <v>8500</v>
      </c>
      <c r="D3">
        <f t="shared" ref="D3:D6" si="0">VLOOKUP(A3,A2:C7,3,FALSE)</f>
        <v>8500</v>
      </c>
    </row>
    <row r="4" spans="1:4">
      <c r="A4" s="23" t="s">
        <v>153</v>
      </c>
      <c r="B4" s="23" t="s">
        <v>37</v>
      </c>
      <c r="C4" s="24">
        <v>500</v>
      </c>
      <c r="D4">
        <f t="shared" si="0"/>
        <v>500</v>
      </c>
    </row>
    <row r="5" spans="1:4">
      <c r="A5" s="23" t="s">
        <v>154</v>
      </c>
      <c r="B5" s="23" t="s">
        <v>49</v>
      </c>
      <c r="C5" s="24">
        <v>12000</v>
      </c>
      <c r="D5">
        <f t="shared" si="0"/>
        <v>12000</v>
      </c>
    </row>
    <row r="6" spans="1:4">
      <c r="A6" s="23" t="s">
        <v>155</v>
      </c>
      <c r="B6" s="23" t="s">
        <v>51</v>
      </c>
      <c r="C6" s="24">
        <v>50000</v>
      </c>
      <c r="D6">
        <f t="shared" si="0"/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 Grade</vt:lpstr>
      <vt:lpstr>Sales Data</vt:lpstr>
      <vt:lpstr>Employee Data</vt:lpstr>
      <vt:lpstr>dynamic reference</vt:lpstr>
      <vt:lpstr>vlookup product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2026-10-24T05:15:59Z</dcterms:created>
  <dcterms:modified xsi:type="dcterms:W3CDTF">2026-10-25T17:06:28Z</dcterms:modified>
</cp:coreProperties>
</file>